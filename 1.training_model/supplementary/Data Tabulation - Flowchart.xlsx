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280091FE-54F7-4311-A1D5-C0442BB6121E}" xr6:coauthVersionLast="47" xr6:coauthVersionMax="47" xr10:uidLastSave="{00000000-0000-0000-0000-000000000000}"/>
  <bookViews>
    <workbookView xWindow="28680" yWindow="-120" windowWidth="29040" windowHeight="15720" tabRatio="717" firstSheet="2" activeTab="5" xr2:uid="{E471D6E3-533D-4285-ABDC-6FF3DFDEE99D}"/>
  </bookViews>
  <sheets>
    <sheet name="Obs-flowchart" sheetId="19" state="hidden" r:id="rId1"/>
    <sheet name="Obs - Overview" sheetId="17" state="hidden" r:id="rId2"/>
    <sheet name="Overview" sheetId="22" r:id="rId3"/>
    <sheet name="Overview draft" sheetId="21" r:id="rId4"/>
    <sheet name="Draft" sheetId="15" r:id="rId5"/>
    <sheet name="Flowchart" sheetId="12" r:id="rId6"/>
    <sheet name="Cluster Info" sheetId="16" r:id="rId7"/>
    <sheet name="Stage 1" sheetId="4" r:id="rId8"/>
    <sheet name="Stage 2" sheetId="6" r:id="rId9"/>
    <sheet name="Stage 3" sheetId="7" r:id="rId10"/>
    <sheet name="Stage 4" sheetId="13" r:id="rId11"/>
    <sheet name="NEW METHODE" sheetId="20" r:id="rId12"/>
    <sheet name="transpose" sheetId="3" state="hidden" r:id="rId13"/>
  </sheets>
  <definedNames>
    <definedName name="_xlnm._FilterDatabase" localSheetId="4" hidden="1">Draft!#REF!</definedName>
    <definedName name="_xlnm._FilterDatabase" localSheetId="7" hidden="1">'Stage 1'!$B$1:$H$30</definedName>
    <definedName name="_xlnm._FilterDatabase" localSheetId="8" hidden="1">'Stage 2'!$B$2:$H$31</definedName>
    <definedName name="_xlnm._FilterDatabase" localSheetId="9" hidden="1">'Stage 3'!$B$2:$H$31</definedName>
    <definedName name="_xlnm._FilterDatabase" localSheetId="10" hidden="1">'Stage 4'!#REF!</definedName>
    <definedName name="_xlnm._FilterDatabase" localSheetId="12" hidden="1">transpose!$B$3:$AE$12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21" l="1"/>
  <c r="I42" i="21"/>
  <c r="G9" i="16"/>
</calcChain>
</file>

<file path=xl/sharedStrings.xml><?xml version="1.0" encoding="utf-8"?>
<sst xmlns="http://schemas.openxmlformats.org/spreadsheetml/2006/main" count="1044" uniqueCount="108">
  <si>
    <t>Device ID</t>
  </si>
  <si>
    <t>Device Type</t>
  </si>
  <si>
    <t>CLUSTER 1</t>
  </si>
  <si>
    <t>CLUSTER 2</t>
  </si>
  <si>
    <t>CLUSTER 3</t>
  </si>
  <si>
    <t>CLUSTER 4</t>
  </si>
  <si>
    <t>CLUSTER 5</t>
  </si>
  <si>
    <t>CV04ST1</t>
  </si>
  <si>
    <t>Control valve</t>
  </si>
  <si>
    <t>CV04ST10</t>
  </si>
  <si>
    <t>CV04ST2</t>
  </si>
  <si>
    <t>CV04ST3</t>
  </si>
  <si>
    <t>CV04ST4</t>
  </si>
  <si>
    <t>CV04ST5</t>
  </si>
  <si>
    <t>CV04ST6</t>
  </si>
  <si>
    <t>CV04ST7</t>
  </si>
  <si>
    <t>CV04ST8</t>
  </si>
  <si>
    <t>CV04ST9</t>
  </si>
  <si>
    <t>HLA411</t>
  </si>
  <si>
    <t>High Level Switch</t>
  </si>
  <si>
    <t>HLA412</t>
  </si>
  <si>
    <t>HLA413</t>
  </si>
  <si>
    <t>HLA414</t>
  </si>
  <si>
    <t>HLA415</t>
  </si>
  <si>
    <t>VP1</t>
  </si>
  <si>
    <t>Pump</t>
  </si>
  <si>
    <t>VP10</t>
  </si>
  <si>
    <t>VP11</t>
  </si>
  <si>
    <t>VP12</t>
  </si>
  <si>
    <t>VP13</t>
  </si>
  <si>
    <t>VP14</t>
  </si>
  <si>
    <t>VP2</t>
  </si>
  <si>
    <t>VP3</t>
  </si>
  <si>
    <t>VP4</t>
  </si>
  <si>
    <t>VP5</t>
  </si>
  <si>
    <t>VP6</t>
  </si>
  <si>
    <t>VP7</t>
  </si>
  <si>
    <t>VP8</t>
  </si>
  <si>
    <t>VP9</t>
  </si>
  <si>
    <t>CONTROL VALVE</t>
  </si>
  <si>
    <t>PUMP</t>
  </si>
  <si>
    <t>HIGH LEVEL SWITCH</t>
  </si>
  <si>
    <t>Cluster 1</t>
  </si>
  <si>
    <t>Cluster 2</t>
  </si>
  <si>
    <t>Cluster 3</t>
  </si>
  <si>
    <t>Cluster 4</t>
  </si>
  <si>
    <t>Cluster 5</t>
  </si>
  <si>
    <t>TOTAL</t>
  </si>
  <si>
    <t>sum</t>
  </si>
  <si>
    <t>STAGE 1</t>
  </si>
  <si>
    <t>STAGE 2</t>
  </si>
  <si>
    <t>Check CLUSTER capacity</t>
  </si>
  <si>
    <t>Is the Selected Cluster Full?</t>
  </si>
  <si>
    <t>Mark the highest prediction for each device id</t>
  </si>
  <si>
    <t>STAGE 3</t>
  </si>
  <si>
    <t>Cluster Full ? = NO : Assign Device to the Selected Cluster</t>
  </si>
  <si>
    <t>STAGE 4</t>
  </si>
  <si>
    <t>FLOWCHART</t>
  </si>
  <si>
    <t>CLUSTER FORMATION</t>
  </si>
  <si>
    <t>Cluster Full?  = YES : Move DEVICE_ID with the low % into subsequent highest cluster</t>
  </si>
  <si>
    <t>Catagorize Device Id by each cluster group</t>
  </si>
  <si>
    <t>Catagorize Device Id by each  cluster group</t>
  </si>
  <si>
    <t>Catagorize Device ID by each  cluster group</t>
  </si>
  <si>
    <t>Sort the highest percentage for each cluster</t>
  </si>
  <si>
    <t>VACANT</t>
  </si>
  <si>
    <t>Control Valve</t>
  </si>
  <si>
    <t>Check the vacant and extra</t>
  </si>
  <si>
    <t>Kick out the lowest per Device ID</t>
  </si>
  <si>
    <t>STAGE 5</t>
  </si>
  <si>
    <t>Insert the removal Device ID into DUMP group</t>
  </si>
  <si>
    <t xml:space="preserve">CLUSTER </t>
  </si>
  <si>
    <t>%</t>
  </si>
  <si>
    <t>STAGE 6</t>
  </si>
  <si>
    <t>STAGE 7</t>
  </si>
  <si>
    <t>Re-evaluate the DEVICE_ID using the Next Highest Percentage</t>
  </si>
  <si>
    <t xml:space="preserve">2nd HIGHEST CLUSTER </t>
  </si>
  <si>
    <t xml:space="preserve">3rd HIGHEST CLUSTER </t>
  </si>
  <si>
    <t>Grouping DEVICE ID into respective CLUSTER</t>
  </si>
  <si>
    <t>[BLANK]</t>
  </si>
  <si>
    <t xml:space="preserve">formation pattern CLUSTER </t>
  </si>
  <si>
    <t>Mark the highest prediction %</t>
  </si>
  <si>
    <t>DUMP GROUP</t>
  </si>
  <si>
    <t>HOW TO FILL?</t>
  </si>
  <si>
    <t>Kick out the lowest %</t>
  </si>
  <si>
    <t>Move into DUMP Group</t>
  </si>
  <si>
    <t>(the percentage is obtain from the prediction)</t>
  </si>
  <si>
    <t>Assign cluster to each devices by their highestprediction score</t>
  </si>
  <si>
    <t>2 different mechanism</t>
  </si>
  <si>
    <t/>
  </si>
  <si>
    <t>WAITING DONOR</t>
  </si>
  <si>
    <t>Waiting donor from DUMP GROUP</t>
  </si>
  <si>
    <t>Highest % prediction</t>
  </si>
  <si>
    <t>Lowest % prediction</t>
  </si>
  <si>
    <t>define the difference between step and stage</t>
  </si>
  <si>
    <t>Evaluate each clsuter to donate exceed</t>
  </si>
  <si>
    <t>find exceeded and vacancy of each cluster</t>
  </si>
  <si>
    <t xml:space="preserve">STAGE 3 </t>
  </si>
  <si>
    <t xml:space="preserve">REASSIGN POLL </t>
  </si>
  <si>
    <t>what if guna average?</t>
  </si>
  <si>
    <t>average</t>
  </si>
  <si>
    <t>methode 1</t>
  </si>
  <si>
    <t>special case</t>
  </si>
  <si>
    <t>VIP poll</t>
  </si>
  <si>
    <t>Find exceeded and vacancy of each cluster</t>
  </si>
  <si>
    <t>Reassign Poll</t>
  </si>
  <si>
    <t>Assign cluster to each devices by their highest prediction score</t>
  </si>
  <si>
    <t>REASSIGN POLL</t>
  </si>
  <si>
    <t xml:space="preserve">show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</si>
</sst>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0" xfId="0" applyFont="1" applyFill="1"/>
    <xf numFmtId="0" fontId="2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/>
    <xf numFmtId="0" fontId="0" fillId="0" borderId="0" xfId="0" applyAlignment="1">
      <alignment horizontal="left" vertical="top"/>
    </xf>
    <xf numFmtId="0" fontId="0" fillId="8" borderId="0" xfId="0" applyFill="1"/>
    <xf numFmtId="0" fontId="3" fillId="0" borderId="0" xfId="1" applyFill="1"/>
    <xf numFmtId="0" fontId="0" fillId="0" borderId="0" xfId="0" applyAlignment="1">
      <alignment horizontal="left"/>
    </xf>
    <xf numFmtId="0" fontId="0" fillId="0" borderId="5" xfId="0" applyBorder="1"/>
    <xf numFmtId="0" fontId="2" fillId="5" borderId="5" xfId="0" applyFont="1" applyFill="1" applyBorder="1"/>
    <xf numFmtId="0" fontId="1" fillId="4" borderId="6" xfId="0" applyFont="1" applyFill="1" applyBorder="1"/>
    <xf numFmtId="0" fontId="3" fillId="9" borderId="0" xfId="1" applyFill="1"/>
    <xf numFmtId="0" fontId="1" fillId="4" borderId="5" xfId="0" applyFont="1" applyFill="1" applyBorder="1"/>
    <xf numFmtId="0" fontId="0" fillId="0" borderId="6" xfId="0" applyBorder="1"/>
    <xf numFmtId="0" fontId="0" fillId="9" borderId="4" xfId="0" applyFill="1" applyBorder="1"/>
    <xf numFmtId="0" fontId="2" fillId="5" borderId="6" xfId="0" applyFont="1" applyFill="1" applyBorder="1"/>
    <xf numFmtId="0" fontId="0" fillId="10" borderId="0" xfId="0" applyFill="1"/>
    <xf numFmtId="0" fontId="0" fillId="9" borderId="0" xfId="0" applyFill="1"/>
    <xf numFmtId="0" fontId="1" fillId="0" borderId="7" xfId="0" applyFont="1" applyBorder="1" applyAlignment="1">
      <alignment horizontal="center"/>
    </xf>
    <xf numFmtId="0" fontId="7" fillId="11" borderId="8" xfId="0" applyFont="1" applyFill="1" applyBorder="1"/>
    <xf numFmtId="0" fontId="0" fillId="12" borderId="8" xfId="0" applyFill="1" applyBorder="1"/>
    <xf numFmtId="0" fontId="0" fillId="13" borderId="8" xfId="0" applyFill="1" applyBorder="1"/>
    <xf numFmtId="0" fontId="0" fillId="13" borderId="9" xfId="0" applyFill="1" applyBorder="1"/>
    <xf numFmtId="0" fontId="7" fillId="11" borderId="8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8" borderId="15" xfId="0" applyFill="1" applyBorder="1"/>
    <xf numFmtId="0" fontId="0" fillId="8" borderId="1" xfId="0" applyFill="1" applyBorder="1"/>
    <xf numFmtId="0" fontId="0" fillId="8" borderId="16" xfId="0" applyFill="1" applyBorder="1"/>
    <xf numFmtId="0" fontId="6" fillId="0" borderId="0" xfId="0" applyFont="1"/>
    <xf numFmtId="0" fontId="5" fillId="11" borderId="8" xfId="0" applyFont="1" applyFill="1" applyBorder="1" applyAlignment="1">
      <alignment horizontal="center"/>
    </xf>
    <xf numFmtId="0" fontId="3" fillId="0" borderId="15" xfId="1" applyFill="1" applyBorder="1"/>
    <xf numFmtId="0" fontId="3" fillId="0" borderId="1" xfId="1" applyFill="1" applyBorder="1"/>
    <xf numFmtId="0" fontId="0" fillId="9" borderId="1" xfId="0" applyFill="1" applyBorder="1"/>
    <xf numFmtId="0" fontId="0" fillId="9" borderId="16" xfId="0" applyFill="1" applyBorder="1"/>
    <xf numFmtId="0" fontId="3" fillId="9" borderId="13" xfId="1" applyFill="1" applyBorder="1"/>
    <xf numFmtId="0" fontId="3" fillId="9" borderId="0" xfId="1" applyFill="1" applyBorder="1"/>
    <xf numFmtId="0" fontId="3" fillId="9" borderId="14" xfId="1" applyFill="1" applyBorder="1"/>
    <xf numFmtId="0" fontId="0" fillId="8" borderId="13" xfId="0" applyFill="1" applyBorder="1"/>
    <xf numFmtId="0" fontId="0" fillId="8" borderId="14" xfId="0" applyFill="1" applyBorder="1"/>
    <xf numFmtId="0" fontId="1" fillId="12" borderId="8" xfId="0" applyFont="1" applyFill="1" applyBorder="1" applyAlignment="1">
      <alignment horizontal="center"/>
    </xf>
    <xf numFmtId="0" fontId="1" fillId="13" borderId="9" xfId="0" applyFont="1" applyFill="1" applyBorder="1" applyAlignment="1">
      <alignment horizontal="center"/>
    </xf>
    <xf numFmtId="0" fontId="3" fillId="0" borderId="0" xfId="1" applyFill="1" applyBorder="1"/>
    <xf numFmtId="0" fontId="0" fillId="9" borderId="14" xfId="0" applyFill="1" applyBorder="1"/>
    <xf numFmtId="0" fontId="3" fillId="9" borderId="15" xfId="1" applyFill="1" applyBorder="1"/>
    <xf numFmtId="0" fontId="3" fillId="9" borderId="1" xfId="1" applyFill="1" applyBorder="1"/>
    <xf numFmtId="0" fontId="0" fillId="13" borderId="9" xfId="0" applyFill="1" applyBorder="1" applyAlignment="1">
      <alignment horizontal="left"/>
    </xf>
    <xf numFmtId="0" fontId="0" fillId="14" borderId="0" xfId="0" applyFill="1"/>
    <xf numFmtId="0" fontId="0" fillId="0" borderId="0" xfId="0" quotePrefix="1"/>
    <xf numFmtId="0" fontId="1" fillId="14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9C9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12396</xdr:colOff>
      <xdr:row>6</xdr:row>
      <xdr:rowOff>72792</xdr:rowOff>
    </xdr:from>
    <xdr:to>
      <xdr:col>5</xdr:col>
      <xdr:colOff>269238</xdr:colOff>
      <xdr:row>9</xdr:row>
      <xdr:rowOff>61593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12FFBA3-6827-4D37-A68C-C20B12500691}"/>
            </a:ext>
          </a:extLst>
        </xdr:cNvPr>
        <xdr:cNvSpPr/>
      </xdr:nvSpPr>
      <xdr:spPr>
        <a:xfrm>
          <a:off x="1231596" y="1177692"/>
          <a:ext cx="2085642" cy="54125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2 : </a:t>
          </a:r>
        </a:p>
        <a:p>
          <a:pPr algn="l"/>
          <a:r>
            <a:rPr lang="en-MY"/>
            <a:t>Check if the selected cluster is full</a:t>
          </a:r>
          <a:endParaRPr lang="en-GB" sz="1100"/>
        </a:p>
      </xdr:txBody>
    </xdr:sp>
    <xdr:clientData/>
  </xdr:twoCellAnchor>
  <xdr:twoCellAnchor>
    <xdr:from>
      <xdr:col>5</xdr:col>
      <xdr:colOff>269238</xdr:colOff>
      <xdr:row>7</xdr:row>
      <xdr:rowOff>162361</xdr:rowOff>
    </xdr:from>
    <xdr:to>
      <xdr:col>9</xdr:col>
      <xdr:colOff>525197</xdr:colOff>
      <xdr:row>9</xdr:row>
      <xdr:rowOff>134934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783B482-1BF1-4761-8EBD-3093212ED80D}"/>
            </a:ext>
          </a:extLst>
        </xdr:cNvPr>
        <xdr:cNvCxnSpPr>
          <a:stCxn id="2" idx="3"/>
          <a:endCxn id="4" idx="1"/>
        </xdr:cNvCxnSpPr>
      </xdr:nvCxnSpPr>
      <xdr:spPr>
        <a:xfrm>
          <a:off x="3317238" y="1451411"/>
          <a:ext cx="2694359" cy="34087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525197</xdr:colOff>
      <xdr:row>6</xdr:row>
      <xdr:rowOff>31936</xdr:rowOff>
    </xdr:from>
    <xdr:to>
      <xdr:col>13</xdr:col>
      <xdr:colOff>119595</xdr:colOff>
      <xdr:row>13</xdr:row>
      <xdr:rowOff>47595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7809222-ADC6-4D5E-B076-D0C56982297B}"/>
            </a:ext>
          </a:extLst>
        </xdr:cNvPr>
        <xdr:cNvSpPr/>
      </xdr:nvSpPr>
      <xdr:spPr>
        <a:xfrm>
          <a:off x="6011597" y="1136836"/>
          <a:ext cx="2032798" cy="13047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Stage 3 : </a:t>
          </a:r>
        </a:p>
        <a:p>
          <a:pPr algn="ctr"/>
          <a:r>
            <a:rPr lang="en-GB" sz="1100"/>
            <a:t>Remove</a:t>
          </a:r>
          <a:r>
            <a:rPr lang="en-GB" sz="1100" baseline="0"/>
            <a:t> the lowest to it subsequence highest cluster</a:t>
          </a:r>
          <a:endParaRPr lang="en-GB" sz="1100"/>
        </a:p>
      </xdr:txBody>
    </xdr:sp>
    <xdr:clientData/>
  </xdr:twoCellAnchor>
  <xdr:twoCellAnchor>
    <xdr:from>
      <xdr:col>3</xdr:col>
      <xdr:colOff>511704</xdr:colOff>
      <xdr:row>6</xdr:row>
      <xdr:rowOff>12700</xdr:rowOff>
    </xdr:from>
    <xdr:to>
      <xdr:col>11</xdr:col>
      <xdr:colOff>325308</xdr:colOff>
      <xdr:row>6</xdr:row>
      <xdr:rowOff>53556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BB740817-2968-4603-AA06-B43E4BAE9614}"/>
            </a:ext>
          </a:extLst>
        </xdr:cNvPr>
        <xdr:cNvCxnSpPr/>
      </xdr:nvCxnSpPr>
      <xdr:spPr>
        <a:xfrm rot="16200000" flipH="1" flipV="1">
          <a:off x="4665278" y="-1207174"/>
          <a:ext cx="40856" cy="4690404"/>
        </a:xfrm>
        <a:prstGeom prst="bentConnector3">
          <a:avLst>
            <a:gd name="adj1" fmla="val -55952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441544</xdr:colOff>
      <xdr:row>12</xdr:row>
      <xdr:rowOff>118183</xdr:rowOff>
    </xdr:from>
    <xdr:to>
      <xdr:col>5</xdr:col>
      <xdr:colOff>592790</xdr:colOff>
      <xdr:row>14</xdr:row>
      <xdr:rowOff>69286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EA84C6-D540-4CB8-A733-0D43A79F4E52}"/>
            </a:ext>
          </a:extLst>
        </xdr:cNvPr>
        <xdr:cNvSpPr/>
      </xdr:nvSpPr>
      <xdr:spPr>
        <a:xfrm>
          <a:off x="1051144" y="2327983"/>
          <a:ext cx="2589646" cy="31940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3</xdr:col>
      <xdr:colOff>445617</xdr:colOff>
      <xdr:row>9</xdr:row>
      <xdr:rowOff>61593</xdr:rowOff>
    </xdr:from>
    <xdr:to>
      <xdr:col>3</xdr:col>
      <xdr:colOff>517167</xdr:colOff>
      <xdr:row>12</xdr:row>
      <xdr:rowOff>118183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E9A0E10-8E52-4969-9293-F7873F5E24E1}"/>
            </a:ext>
          </a:extLst>
        </xdr:cNvPr>
        <xdr:cNvCxnSpPr>
          <a:stCxn id="2" idx="2"/>
          <a:endCxn id="6" idx="0"/>
        </xdr:cNvCxnSpPr>
      </xdr:nvCxnSpPr>
      <xdr:spPr>
        <a:xfrm>
          <a:off x="2274417" y="1718943"/>
          <a:ext cx="71550" cy="6090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168369</xdr:colOff>
      <xdr:row>10</xdr:row>
      <xdr:rowOff>103468</xdr:rowOff>
    </xdr:from>
    <xdr:ext cx="346826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AB67138-6547-4956-84D4-D364AE75C130}"/>
            </a:ext>
          </a:extLst>
        </xdr:cNvPr>
        <xdr:cNvSpPr txBox="1"/>
      </xdr:nvSpPr>
      <xdr:spPr>
        <a:xfrm>
          <a:off x="1997169" y="1944968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1</xdr:col>
      <xdr:colOff>438150</xdr:colOff>
      <xdr:row>16</xdr:row>
      <xdr:rowOff>120317</xdr:rowOff>
    </xdr:from>
    <xdr:to>
      <xdr:col>5</xdr:col>
      <xdr:colOff>595605</xdr:colOff>
      <xdr:row>19</xdr:row>
      <xdr:rowOff>24789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408CD12-8242-4308-8CBC-19EE9367621B}"/>
            </a:ext>
          </a:extLst>
        </xdr:cNvPr>
        <xdr:cNvSpPr/>
      </xdr:nvSpPr>
      <xdr:spPr>
        <a:xfrm>
          <a:off x="1047750" y="3066717"/>
          <a:ext cx="2595855" cy="45692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4 : </a:t>
          </a:r>
        </a:p>
        <a:p>
          <a:pPr algn="l"/>
          <a:r>
            <a:rPr lang="en-GB" sz="1100" baseline="0"/>
            <a:t>Catagorize Device ID by each cluster group</a:t>
          </a:r>
          <a:endParaRPr lang="en-GB" sz="1100"/>
        </a:p>
      </xdr:txBody>
    </xdr:sp>
    <xdr:clientData/>
  </xdr:twoCellAnchor>
  <xdr:twoCellAnchor>
    <xdr:from>
      <xdr:col>3</xdr:col>
      <xdr:colOff>516878</xdr:colOff>
      <xdr:row>14</xdr:row>
      <xdr:rowOff>69286</xdr:rowOff>
    </xdr:from>
    <xdr:to>
      <xdr:col>3</xdr:col>
      <xdr:colOff>517167</xdr:colOff>
      <xdr:row>16</xdr:row>
      <xdr:rowOff>120317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5E0DBFCF-F0D9-4F57-B902-27914A0A085B}"/>
            </a:ext>
          </a:extLst>
        </xdr:cNvPr>
        <xdr:cNvCxnSpPr>
          <a:stCxn id="6" idx="2"/>
          <a:endCxn id="9" idx="0"/>
        </xdr:cNvCxnSpPr>
      </xdr:nvCxnSpPr>
      <xdr:spPr>
        <a:xfrm flipH="1">
          <a:off x="2345678" y="2647386"/>
          <a:ext cx="289" cy="41933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269238</xdr:colOff>
      <xdr:row>7</xdr:row>
      <xdr:rowOff>157935</xdr:rowOff>
    </xdr:from>
    <xdr:to>
      <xdr:col>9</xdr:col>
      <xdr:colOff>298902</xdr:colOff>
      <xdr:row>15</xdr:row>
      <xdr:rowOff>92119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FE97E8A3-A03A-43D0-A153-5EC836D633CD}"/>
            </a:ext>
          </a:extLst>
        </xdr:cNvPr>
        <xdr:cNvCxnSpPr>
          <a:stCxn id="2" idx="3"/>
        </xdr:cNvCxnSpPr>
      </xdr:nvCxnSpPr>
      <xdr:spPr>
        <a:xfrm>
          <a:off x="3317238" y="1446985"/>
          <a:ext cx="2468064" cy="14073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381000</xdr:colOff>
      <xdr:row>3</xdr:row>
      <xdr:rowOff>63500</xdr:rowOff>
    </xdr:from>
    <xdr:ext cx="385105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A30C47E-6391-422A-9A65-6009E828BB8F}"/>
            </a:ext>
          </a:extLst>
        </xdr:cNvPr>
        <xdr:cNvSpPr txBox="1"/>
      </xdr:nvSpPr>
      <xdr:spPr>
        <a:xfrm>
          <a:off x="4648200" y="615950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ECA9D57-FFB0-46A2-BAAC-2EAE9562C7C8}"/>
            </a:ext>
          </a:extLst>
        </xdr:cNvPr>
        <xdr:cNvSpPr/>
      </xdr:nvSpPr>
      <xdr:spPr>
        <a:xfrm>
          <a:off x="1151065" y="377958"/>
          <a:ext cx="1925725" cy="48791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BAA1E64-925E-4CAC-BC28-3179C0BE504C}"/>
            </a:ext>
          </a:extLst>
        </xdr:cNvPr>
        <xdr:cNvCxnSpPr>
          <a:stCxn id="6" idx="2"/>
          <a:endCxn id="15" idx="0"/>
        </xdr:cNvCxnSpPr>
      </xdr:nvCxnSpPr>
      <xdr:spPr>
        <a:xfrm>
          <a:off x="2117103" y="865868"/>
          <a:ext cx="8996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9CF27E6-82DB-4E1F-ABE8-105C19522AF0}"/>
            </a:ext>
          </a:extLst>
        </xdr:cNvPr>
        <xdr:cNvSpPr/>
      </xdr:nvSpPr>
      <xdr:spPr>
        <a:xfrm>
          <a:off x="744974" y="1247417"/>
          <a:ext cx="2752724" cy="4870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88F1BBF-B2FF-4B94-BD36-044CF6A17C74}"/>
            </a:ext>
          </a:extLst>
        </xdr:cNvPr>
        <xdr:cNvSpPr/>
      </xdr:nvSpPr>
      <xdr:spPr>
        <a:xfrm>
          <a:off x="1460169" y="2155293"/>
          <a:ext cx="1329103" cy="4853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41BF338D-9667-484E-87A9-DE0CA4AF9C0B}"/>
            </a:ext>
          </a:extLst>
        </xdr:cNvPr>
        <xdr:cNvCxnSpPr>
          <a:stCxn id="15" idx="2"/>
          <a:endCxn id="16" idx="0"/>
        </xdr:cNvCxnSpPr>
      </xdr:nvCxnSpPr>
      <xdr:spPr>
        <a:xfrm>
          <a:off x="2126099" y="1734457"/>
          <a:ext cx="0" cy="42083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46472</xdr:rowOff>
    </xdr:from>
    <xdr:to>
      <xdr:col>12</xdr:col>
      <xdr:colOff>254802</xdr:colOff>
      <xdr:row>13</xdr:row>
      <xdr:rowOff>54138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7610ED5D-1D89-49E3-AC82-D812A66A4BE3}"/>
            </a:ext>
          </a:extLst>
        </xdr:cNvPr>
        <xdr:cNvCxnSpPr>
          <a:stCxn id="16" idx="3"/>
          <a:endCxn id="22" idx="1"/>
        </xdr:cNvCxnSpPr>
      </xdr:nvCxnSpPr>
      <xdr:spPr>
        <a:xfrm>
          <a:off x="5847105" y="2450841"/>
          <a:ext cx="1731775" cy="76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126912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42FC8260-05D7-462D-96E8-050BC52AA65E}"/>
            </a:ext>
          </a:extLst>
        </xdr:cNvPr>
        <xdr:cNvSpPr txBox="1"/>
      </xdr:nvSpPr>
      <xdr:spPr>
        <a:xfrm>
          <a:off x="6065611" y="2147176"/>
          <a:ext cx="11269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Exceed</a:t>
          </a:r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E9C2376-9611-422F-BEDA-D6C5E1321BEE}"/>
            </a:ext>
          </a:extLst>
        </xdr:cNvPr>
        <xdr:cNvSpPr txBox="1"/>
      </xdr:nvSpPr>
      <xdr:spPr>
        <a:xfrm>
          <a:off x="3146014" y="2220113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170FABAE-EF0B-4B00-8519-5101DD47D2D4}"/>
            </a:ext>
          </a:extLst>
        </xdr:cNvPr>
        <xdr:cNvCxnSpPr>
          <a:stCxn id="31" idx="2"/>
          <a:endCxn id="54" idx="0"/>
        </xdr:cNvCxnSpPr>
      </xdr:nvCxnSpPr>
      <xdr:spPr>
        <a:xfrm flipH="1">
          <a:off x="1770903" y="2622177"/>
          <a:ext cx="7068" cy="5901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254802</xdr:colOff>
      <xdr:row>11</xdr:row>
      <xdr:rowOff>120606</xdr:rowOff>
    </xdr:from>
    <xdr:to>
      <xdr:col>16</xdr:col>
      <xdr:colOff>240436</xdr:colOff>
      <xdr:row>14</xdr:row>
      <xdr:rowOff>172621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1B206C-FB6B-4030-9BB1-5B3B3CD4B4EF}"/>
            </a:ext>
          </a:extLst>
        </xdr:cNvPr>
        <xdr:cNvSpPr/>
      </xdr:nvSpPr>
      <xdr:spPr>
        <a:xfrm>
          <a:off x="7578880" y="2155072"/>
          <a:ext cx="2426993" cy="60686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Find exceeded DEVICE ID, </a:t>
          </a:r>
        </a:p>
        <a:p>
          <a:pPr algn="ctr"/>
          <a:r>
            <a:rPr lang="en-GB" sz="1100" baseline="0"/>
            <a:t>by evaluate percentage prediction 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80A0535-438A-4DFA-98B9-07E0870C459C}"/>
            </a:ext>
          </a:extLst>
        </xdr:cNvPr>
        <xdr:cNvSpPr/>
      </xdr:nvSpPr>
      <xdr:spPr>
        <a:xfrm>
          <a:off x="6750158" y="3246964"/>
          <a:ext cx="2803417" cy="4583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247620</xdr:colOff>
      <xdr:row>14</xdr:row>
      <xdr:rowOff>172621</xdr:rowOff>
    </xdr:from>
    <xdr:to>
      <xdr:col>18</xdr:col>
      <xdr:colOff>230241</xdr:colOff>
      <xdr:row>17</xdr:row>
      <xdr:rowOff>170389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8CE3B474-B887-4AD8-BC49-E6CF666DE675}"/>
            </a:ext>
          </a:extLst>
        </xdr:cNvPr>
        <xdr:cNvCxnSpPr>
          <a:stCxn id="22" idx="2"/>
          <a:endCxn id="23" idx="0"/>
        </xdr:cNvCxnSpPr>
      </xdr:nvCxnSpPr>
      <xdr:spPr>
        <a:xfrm>
          <a:off x="8792377" y="2761941"/>
          <a:ext cx="2423981" cy="55262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151870</xdr:colOff>
      <xdr:row>14</xdr:row>
      <xdr:rowOff>172621</xdr:rowOff>
    </xdr:from>
    <xdr:to>
      <xdr:col>14</xdr:col>
      <xdr:colOff>247620</xdr:colOff>
      <xdr:row>17</xdr:row>
      <xdr:rowOff>160546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8D312150-548B-434B-BE0F-E032603EAF6B}"/>
            </a:ext>
          </a:extLst>
        </xdr:cNvPr>
        <xdr:cNvCxnSpPr>
          <a:stCxn id="22" idx="2"/>
          <a:endCxn id="28" idx="0"/>
        </xdr:cNvCxnSpPr>
      </xdr:nvCxnSpPr>
      <xdr:spPr>
        <a:xfrm flipH="1">
          <a:off x="7475948" y="2761941"/>
          <a:ext cx="1316429" cy="542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D8A7CDC-4BFC-4252-8E72-F0307A876437}"/>
            </a:ext>
          </a:extLst>
        </xdr:cNvPr>
        <xdr:cNvSpPr/>
      </xdr:nvSpPr>
      <xdr:spPr>
        <a:xfrm>
          <a:off x="6982958" y="4164916"/>
          <a:ext cx="2348850" cy="51470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3D266DB7-E331-460A-9A92-1F774A1A00CA}"/>
            </a:ext>
          </a:extLst>
        </xdr:cNvPr>
        <xdr:cNvCxnSpPr>
          <a:stCxn id="23" idx="2"/>
          <a:endCxn id="26" idx="0"/>
        </xdr:cNvCxnSpPr>
      </xdr:nvCxnSpPr>
      <xdr:spPr>
        <a:xfrm>
          <a:off x="8155042" y="3705350"/>
          <a:ext cx="754" cy="4595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608886</xdr:colOff>
      <xdr:row>17</xdr:row>
      <xdr:rowOff>160546</xdr:rowOff>
    </xdr:from>
    <xdr:to>
      <xdr:col>13</xdr:col>
      <xdr:colOff>305195</xdr:colOff>
      <xdr:row>19</xdr:row>
      <xdr:rowOff>84026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D48E40-4EDC-4DAD-AD40-33159EDDA8A6}"/>
            </a:ext>
          </a:extLst>
        </xdr:cNvPr>
        <xdr:cNvSpPr/>
      </xdr:nvSpPr>
      <xdr:spPr>
        <a:xfrm>
          <a:off x="6712762" y="3256786"/>
          <a:ext cx="1527472" cy="28774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00DE24E-D4C0-4BEE-82A5-5B3C8FD89468}"/>
            </a:ext>
          </a:extLst>
        </xdr:cNvPr>
        <xdr:cNvSpPr/>
      </xdr:nvSpPr>
      <xdr:spPr>
        <a:xfrm>
          <a:off x="6375187" y="5159988"/>
          <a:ext cx="3595233" cy="45099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3895B373-E2CA-4EA0-A709-0C4A5C219AFC}"/>
            </a:ext>
          </a:extLst>
        </xdr:cNvPr>
        <xdr:cNvCxnSpPr>
          <a:stCxn id="26" idx="2"/>
          <a:endCxn id="29" idx="0"/>
        </xdr:cNvCxnSpPr>
      </xdr:nvCxnSpPr>
      <xdr:spPr>
        <a:xfrm>
          <a:off x="8155796" y="4679620"/>
          <a:ext cx="13833" cy="4803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5591000-DEAC-439D-AD16-1507A2E814B2}"/>
            </a:ext>
          </a:extLst>
        </xdr:cNvPr>
        <xdr:cNvSpPr/>
      </xdr:nvSpPr>
      <xdr:spPr>
        <a:xfrm>
          <a:off x="844177" y="2333322"/>
          <a:ext cx="1867587" cy="28885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C96F8C4-E878-40F9-88FB-496FBBC47D6D}"/>
            </a:ext>
          </a:extLst>
        </xdr:cNvPr>
        <xdr:cNvCxnSpPr/>
      </xdr:nvCxnSpPr>
      <xdr:spPr>
        <a:xfrm rot="10800000">
          <a:off x="3493948" y="1593285"/>
          <a:ext cx="6553390" cy="4664538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E03F21F-9235-4F89-9E61-9E3129315C41}"/>
            </a:ext>
          </a:extLst>
        </xdr:cNvPr>
        <xdr:cNvSpPr/>
      </xdr:nvSpPr>
      <xdr:spPr>
        <a:xfrm>
          <a:off x="6426397" y="6092005"/>
          <a:ext cx="3624730" cy="26823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A5C55F15-3A99-4904-AE80-6E73B38BFE4B}"/>
            </a:ext>
          </a:extLst>
        </xdr:cNvPr>
        <xdr:cNvCxnSpPr>
          <a:stCxn id="29" idx="2"/>
          <a:endCxn id="39" idx="0"/>
        </xdr:cNvCxnSpPr>
      </xdr:nvCxnSpPr>
      <xdr:spPr>
        <a:xfrm>
          <a:off x="8233538" y="5709204"/>
          <a:ext cx="5224" cy="3828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47D5FD08-5A06-4D7A-95AF-FF2E82DDF183}"/>
            </a:ext>
          </a:extLst>
        </xdr:cNvPr>
        <xdr:cNvCxnSpPr>
          <a:stCxn id="16" idx="1"/>
          <a:endCxn id="31" idx="3"/>
        </xdr:cNvCxnSpPr>
      </xdr:nvCxnSpPr>
      <xdr:spPr>
        <a:xfrm flipH="1">
          <a:off x="2711764" y="2473507"/>
          <a:ext cx="1814148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3CD7836B-749A-4D92-A0F1-3C49472A6CCB}"/>
            </a:ext>
          </a:extLst>
        </xdr:cNvPr>
        <xdr:cNvSpPr/>
      </xdr:nvSpPr>
      <xdr:spPr>
        <a:xfrm>
          <a:off x="463176" y="3212354"/>
          <a:ext cx="2615453" cy="31770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8E94DE5-B42B-4877-8EC3-C8A2D42D752F}"/>
            </a:ext>
          </a:extLst>
        </xdr:cNvPr>
        <xdr:cNvSpPr/>
      </xdr:nvSpPr>
      <xdr:spPr>
        <a:xfrm>
          <a:off x="384082" y="3964142"/>
          <a:ext cx="2778324" cy="2970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6AD2AB85-3D94-418C-A68D-B65D45BD9848}"/>
            </a:ext>
          </a:extLst>
        </xdr:cNvPr>
        <xdr:cNvCxnSpPr>
          <a:stCxn id="54" idx="2"/>
          <a:endCxn id="58" idx="0"/>
        </xdr:cNvCxnSpPr>
      </xdr:nvCxnSpPr>
      <xdr:spPr>
        <a:xfrm>
          <a:off x="1770903" y="3530059"/>
          <a:ext cx="2341" cy="4340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313407</xdr:colOff>
      <xdr:row>18</xdr:row>
      <xdr:rowOff>157312</xdr:rowOff>
    </xdr:from>
    <xdr:to>
      <xdr:col>28</xdr:col>
      <xdr:colOff>40337</xdr:colOff>
      <xdr:row>21</xdr:row>
      <xdr:rowOff>53482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2030020-5E74-4C23-81B8-92F9825A4782}"/>
            </a:ext>
          </a:extLst>
        </xdr:cNvPr>
        <xdr:cNvSpPr/>
      </xdr:nvSpPr>
      <xdr:spPr>
        <a:xfrm>
          <a:off x="7606836" y="2878741"/>
          <a:ext cx="2765858" cy="44045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Sum </a:t>
          </a:r>
          <a:r>
            <a:rPr lang="en-MY" b="1">
              <a:effectLst/>
            </a:rPr>
            <a:t>Type N </a:t>
          </a:r>
          <a:r>
            <a:rPr lang="en-MY">
              <a:effectLst/>
            </a:rPr>
            <a:t>quantity as</a:t>
          </a:r>
          <a:r>
            <a:rPr lang="en-MY" baseline="0">
              <a:effectLst/>
            </a:rPr>
            <a:t> Q</a:t>
          </a:r>
          <a:r>
            <a:rPr lang="en-MY">
              <a:effectLst/>
            </a:rPr>
            <a:t>. </a:t>
          </a:r>
        </a:p>
        <a:p>
          <a:pPr algn="ctr"/>
          <a:r>
            <a:rPr lang="en-MY">
              <a:effectLst/>
            </a:rPr>
            <a:t>Compare with</a:t>
          </a:r>
          <a:r>
            <a:rPr lang="en-MY" baseline="0">
              <a:effectLst/>
            </a:rPr>
            <a:t> target quantity </a:t>
          </a:r>
          <a:r>
            <a:rPr lang="en-MY" b="1" baseline="0">
              <a:effectLst/>
            </a:rPr>
            <a:t>T</a:t>
          </a:r>
          <a:endParaRPr lang="en-MY" b="1">
            <a:effectLst/>
          </a:endParaRPr>
        </a:p>
      </xdr:txBody>
    </xdr:sp>
    <xdr:clientData/>
  </xdr:twoCellAnchor>
  <xdr:twoCellAnchor>
    <xdr:from>
      <xdr:col>20</xdr:col>
      <xdr:colOff>0</xdr:colOff>
      <xdr:row>37</xdr:row>
      <xdr:rowOff>47751</xdr:rowOff>
    </xdr:from>
    <xdr:to>
      <xdr:col>23</xdr:col>
      <xdr:colOff>22709</xdr:colOff>
      <xdr:row>38</xdr:row>
      <xdr:rowOff>179763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5D312A6-9AED-4264-BA3E-14C854E63B17}"/>
            </a:ext>
          </a:extLst>
        </xdr:cNvPr>
        <xdr:cNvSpPr/>
      </xdr:nvSpPr>
      <xdr:spPr>
        <a:xfrm>
          <a:off x="5470071" y="6216322"/>
          <a:ext cx="1846067" cy="31344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</a:t>
          </a:r>
          <a:r>
            <a:rPr lang="en-MY" baseline="0">
              <a:effectLst/>
            </a:rPr>
            <a:t> = N + 1 (next type)</a:t>
          </a:r>
          <a:endParaRPr lang="en-MY">
            <a:effectLst/>
          </a:endParaRPr>
        </a:p>
      </xdr:txBody>
    </xdr:sp>
    <xdr:clientData/>
  </xdr:twoCellAnchor>
  <xdr:twoCellAnchor>
    <xdr:from>
      <xdr:col>28</xdr:col>
      <xdr:colOff>510901</xdr:colOff>
      <xdr:row>24</xdr:row>
      <xdr:rowOff>56238</xdr:rowOff>
    </xdr:from>
    <xdr:to>
      <xdr:col>33</xdr:col>
      <xdr:colOff>10097</xdr:colOff>
      <xdr:row>25</xdr:row>
      <xdr:rowOff>176522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20BBD67-05EB-4B8A-8026-125F6FEFC459}"/>
            </a:ext>
          </a:extLst>
        </xdr:cNvPr>
        <xdr:cNvSpPr/>
      </xdr:nvSpPr>
      <xdr:spPr>
        <a:xfrm>
          <a:off x="10843258" y="3866238"/>
          <a:ext cx="2538125" cy="30171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25</xdr:col>
      <xdr:colOff>482455</xdr:colOff>
      <xdr:row>21</xdr:row>
      <xdr:rowOff>53482</xdr:rowOff>
    </xdr:from>
    <xdr:to>
      <xdr:col>30</xdr:col>
      <xdr:colOff>565422</xdr:colOff>
      <xdr:row>24</xdr:row>
      <xdr:rowOff>56238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6D08C4EA-8FB8-48A9-B7FD-200D7EA5F263}"/>
            </a:ext>
          </a:extLst>
        </xdr:cNvPr>
        <xdr:cNvCxnSpPr>
          <a:stCxn id="2" idx="2"/>
          <a:endCxn id="4" idx="0"/>
        </xdr:cNvCxnSpPr>
      </xdr:nvCxnSpPr>
      <xdr:spPr>
        <a:xfrm>
          <a:off x="8991455" y="3319196"/>
          <a:ext cx="3121896" cy="54704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314231</xdr:colOff>
      <xdr:row>27</xdr:row>
      <xdr:rowOff>17622</xdr:rowOff>
    </xdr:from>
    <xdr:to>
      <xdr:col>25</xdr:col>
      <xdr:colOff>481363</xdr:colOff>
      <xdr:row>37</xdr:row>
      <xdr:rowOff>47751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2F85698A-4D39-4541-984E-C449C5598380}"/>
            </a:ext>
          </a:extLst>
        </xdr:cNvPr>
        <xdr:cNvCxnSpPr>
          <a:cxnSpLocks/>
          <a:stCxn id="10" idx="2"/>
          <a:endCxn id="3" idx="0"/>
        </xdr:cNvCxnSpPr>
      </xdr:nvCxnSpPr>
      <xdr:spPr>
        <a:xfrm flipH="1">
          <a:off x="6392088" y="4371908"/>
          <a:ext cx="2598275" cy="18444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227684</xdr:colOff>
      <xdr:row>21</xdr:row>
      <xdr:rowOff>145955</xdr:rowOff>
    </xdr:from>
    <xdr:ext cx="39286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69F985-F3B6-4A63-BABA-953A336DEEC5}"/>
            </a:ext>
          </a:extLst>
        </xdr:cNvPr>
        <xdr:cNvSpPr txBox="1"/>
      </xdr:nvSpPr>
      <xdr:spPr>
        <a:xfrm>
          <a:off x="7720684" y="3955955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29</xdr:col>
      <xdr:colOff>40572</xdr:colOff>
      <xdr:row>21</xdr:row>
      <xdr:rowOff>116923</xdr:rowOff>
    </xdr:from>
    <xdr:ext cx="590867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5152884-A96A-4470-830B-E27E707238C2}"/>
            </a:ext>
          </a:extLst>
        </xdr:cNvPr>
        <xdr:cNvSpPr txBox="1"/>
      </xdr:nvSpPr>
      <xdr:spPr>
        <a:xfrm>
          <a:off x="10980715" y="3382637"/>
          <a:ext cx="5908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</a:t>
          </a:r>
        </a:p>
      </xdr:txBody>
    </xdr:sp>
    <xdr:clientData/>
  </xdr:oneCellAnchor>
  <xdr:twoCellAnchor>
    <xdr:from>
      <xdr:col>20</xdr:col>
      <xdr:colOff>0</xdr:colOff>
      <xdr:row>9</xdr:row>
      <xdr:rowOff>161527</xdr:rowOff>
    </xdr:from>
    <xdr:to>
      <xdr:col>24</xdr:col>
      <xdr:colOff>175377</xdr:colOff>
      <xdr:row>38</xdr:row>
      <xdr:rowOff>23043</xdr:rowOff>
    </xdr:to>
    <xdr:cxnSp macro="">
      <xdr:nvCxnSpPr>
        <xdr:cNvPr id="9" name="Connector: Elbow 8">
          <a:extLst>
            <a:ext uri="{FF2B5EF4-FFF2-40B4-BE49-F238E27FC236}">
              <a16:creationId xmlns:a16="http://schemas.microsoft.com/office/drawing/2014/main" id="{D539331F-4CE3-4EFA-9848-8AD4980BF5B0}"/>
            </a:ext>
          </a:extLst>
        </xdr:cNvPr>
        <xdr:cNvCxnSpPr>
          <a:stCxn id="3" idx="1"/>
          <a:endCxn id="21" idx="1"/>
        </xdr:cNvCxnSpPr>
      </xdr:nvCxnSpPr>
      <xdr:spPr>
        <a:xfrm rot="10800000" flipH="1">
          <a:off x="5470071" y="1250098"/>
          <a:ext cx="2606520" cy="5122945"/>
        </a:xfrm>
        <a:prstGeom prst="bentConnector3">
          <a:avLst>
            <a:gd name="adj1" fmla="val -8764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84049</xdr:colOff>
      <xdr:row>24</xdr:row>
      <xdr:rowOff>61856</xdr:rowOff>
    </xdr:from>
    <xdr:to>
      <xdr:col>27</xdr:col>
      <xdr:colOff>265227</xdr:colOff>
      <xdr:row>27</xdr:row>
      <xdr:rowOff>17622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6771664-CCA7-45FD-879F-B8797F8571DD}"/>
            </a:ext>
          </a:extLst>
        </xdr:cNvPr>
        <xdr:cNvSpPr/>
      </xdr:nvSpPr>
      <xdr:spPr>
        <a:xfrm>
          <a:off x="7985263" y="3871856"/>
          <a:ext cx="2004535" cy="50005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25</xdr:col>
      <xdr:colOff>481363</xdr:colOff>
      <xdr:row>21</xdr:row>
      <xdr:rowOff>53482</xdr:rowOff>
    </xdr:from>
    <xdr:to>
      <xdr:col>25</xdr:col>
      <xdr:colOff>483598</xdr:colOff>
      <xdr:row>24</xdr:row>
      <xdr:rowOff>61856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5A18E7D1-798F-4DBD-880C-30E16BE54429}"/>
            </a:ext>
          </a:extLst>
        </xdr:cNvPr>
        <xdr:cNvCxnSpPr>
          <a:stCxn id="2" idx="2"/>
          <a:endCxn id="10" idx="0"/>
        </xdr:cNvCxnSpPr>
      </xdr:nvCxnSpPr>
      <xdr:spPr>
        <a:xfrm flipH="1">
          <a:off x="8990363" y="3319196"/>
          <a:ext cx="2235" cy="552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25</xdr:col>
      <xdr:colOff>515248</xdr:colOff>
      <xdr:row>22</xdr:row>
      <xdr:rowOff>37972</xdr:rowOff>
    </xdr:from>
    <xdr:ext cx="662233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5D402ADF-D530-44AF-81AF-82C683062212}"/>
            </a:ext>
          </a:extLst>
        </xdr:cNvPr>
        <xdr:cNvSpPr txBox="1"/>
      </xdr:nvSpPr>
      <xdr:spPr>
        <a:xfrm>
          <a:off x="9024248" y="3485115"/>
          <a:ext cx="6622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Vacancy</a:t>
          </a:r>
        </a:p>
      </xdr:txBody>
    </xdr:sp>
    <xdr:clientData/>
  </xdr:oneCellAnchor>
  <xdr:twoCellAnchor>
    <xdr:from>
      <xdr:col>30</xdr:col>
      <xdr:colOff>563107</xdr:colOff>
      <xdr:row>25</xdr:row>
      <xdr:rowOff>176522</xdr:rowOff>
    </xdr:from>
    <xdr:to>
      <xdr:col>30</xdr:col>
      <xdr:colOff>565299</xdr:colOff>
      <xdr:row>28</xdr:row>
      <xdr:rowOff>142590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394A5D41-285B-44B3-9797-E7A0AF0E52D5}"/>
            </a:ext>
          </a:extLst>
        </xdr:cNvPr>
        <xdr:cNvCxnSpPr>
          <a:stCxn id="4" idx="2"/>
          <a:endCxn id="14" idx="0"/>
        </xdr:cNvCxnSpPr>
      </xdr:nvCxnSpPr>
      <xdr:spPr>
        <a:xfrm flipH="1">
          <a:off x="12111036" y="4167951"/>
          <a:ext cx="2192" cy="51035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508709</xdr:colOff>
      <xdr:row>28</xdr:row>
      <xdr:rowOff>142590</xdr:rowOff>
    </xdr:from>
    <xdr:to>
      <xdr:col>33</xdr:col>
      <xdr:colOff>7905</xdr:colOff>
      <xdr:row>31</xdr:row>
      <xdr:rowOff>40116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3E6D14AB-62E7-4705-9EF8-D13E565E42DB}"/>
            </a:ext>
          </a:extLst>
        </xdr:cNvPr>
        <xdr:cNvSpPr/>
      </xdr:nvSpPr>
      <xdr:spPr>
        <a:xfrm>
          <a:off x="10841066" y="4678304"/>
          <a:ext cx="2538125" cy="44181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23</xdr:col>
      <xdr:colOff>321826</xdr:colOff>
      <xdr:row>13</xdr:row>
      <xdr:rowOff>29041</xdr:rowOff>
    </xdr:from>
    <xdr:to>
      <xdr:col>28</xdr:col>
      <xdr:colOff>50875</xdr:colOff>
      <xdr:row>15</xdr:row>
      <xdr:rowOff>101863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6F22256-A899-4BF6-AF69-B3963BC676B4}"/>
            </a:ext>
          </a:extLst>
        </xdr:cNvPr>
        <xdr:cNvSpPr/>
      </xdr:nvSpPr>
      <xdr:spPr>
        <a:xfrm>
          <a:off x="7615255" y="1843327"/>
          <a:ext cx="2767977" cy="43567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Evaluate</a:t>
          </a:r>
          <a:r>
            <a:rPr lang="en-MY" baseline="0">
              <a:effectLst/>
            </a:rPr>
            <a:t> Device Type N is </a:t>
          </a:r>
        </a:p>
        <a:p>
          <a:pPr algn="ctr"/>
          <a:r>
            <a:rPr lang="en-MY" b="1" baseline="0">
              <a:effectLst/>
            </a:rPr>
            <a:t>full, exceeded or vacancy</a:t>
          </a:r>
          <a:endParaRPr lang="en-MY" b="1">
            <a:effectLst/>
          </a:endParaRPr>
        </a:p>
      </xdr:txBody>
    </xdr:sp>
    <xdr:clientData/>
  </xdr:twoCellAnchor>
  <xdr:twoCellAnchor>
    <xdr:from>
      <xdr:col>25</xdr:col>
      <xdr:colOff>483175</xdr:colOff>
      <xdr:row>15</xdr:row>
      <xdr:rowOff>101863</xdr:rowOff>
    </xdr:from>
    <xdr:to>
      <xdr:col>25</xdr:col>
      <xdr:colOff>492654</xdr:colOff>
      <xdr:row>18</xdr:row>
      <xdr:rowOff>157312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B483BF64-7B75-4B11-9B35-A0AD394D28AD}"/>
            </a:ext>
          </a:extLst>
        </xdr:cNvPr>
        <xdr:cNvCxnSpPr>
          <a:stCxn id="15" idx="2"/>
          <a:endCxn id="2" idx="0"/>
        </xdr:cNvCxnSpPr>
      </xdr:nvCxnSpPr>
      <xdr:spPr>
        <a:xfrm flipH="1">
          <a:off x="8992175" y="2279006"/>
          <a:ext cx="9479" cy="59973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563107</xdr:colOff>
      <xdr:row>31</xdr:row>
      <xdr:rowOff>40116</xdr:rowOff>
    </xdr:from>
    <xdr:to>
      <xdr:col>30</xdr:col>
      <xdr:colOff>575272</xdr:colOff>
      <xdr:row>34</xdr:row>
      <xdr:rowOff>10139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C57BF9C7-8AD6-4D7F-A427-F9F3CC20F39D}"/>
            </a:ext>
          </a:extLst>
        </xdr:cNvPr>
        <xdr:cNvCxnSpPr>
          <a:stCxn id="14" idx="2"/>
          <a:endCxn id="18" idx="0"/>
        </xdr:cNvCxnSpPr>
      </xdr:nvCxnSpPr>
      <xdr:spPr>
        <a:xfrm>
          <a:off x="12111036" y="5120116"/>
          <a:ext cx="12165" cy="51430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520874</xdr:colOff>
      <xdr:row>34</xdr:row>
      <xdr:rowOff>10139</xdr:rowOff>
    </xdr:from>
    <xdr:to>
      <xdr:col>33</xdr:col>
      <xdr:colOff>20070</xdr:colOff>
      <xdr:row>36</xdr:row>
      <xdr:rowOff>88523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3D2EB1E-D69F-42D6-85B9-89DF7AECB6A2}"/>
            </a:ext>
          </a:extLst>
        </xdr:cNvPr>
        <xdr:cNvSpPr/>
      </xdr:nvSpPr>
      <xdr:spPr>
        <a:xfrm>
          <a:off x="10853231" y="5634425"/>
          <a:ext cx="2538125" cy="44124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Transfer all the device after count</a:t>
          </a:r>
          <a:r>
            <a:rPr lang="en-MY" baseline="0">
              <a:effectLst/>
            </a:rPr>
            <a:t> of Q to </a:t>
          </a:r>
          <a:r>
            <a:rPr lang="en-MY" b="1" baseline="0">
              <a:solidFill>
                <a:srgbClr val="FFC000"/>
              </a:solidFill>
              <a:effectLst/>
            </a:rPr>
            <a:t>reassign poll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21</xdr:col>
      <xdr:colOff>317459</xdr:colOff>
      <xdr:row>20</xdr:row>
      <xdr:rowOff>14868</xdr:rowOff>
    </xdr:from>
    <xdr:to>
      <xdr:col>23</xdr:col>
      <xdr:colOff>313408</xdr:colOff>
      <xdr:row>37</xdr:row>
      <xdr:rowOff>47751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3147562D-F1BD-443B-AB36-6149A967EA8C}"/>
            </a:ext>
          </a:extLst>
        </xdr:cNvPr>
        <xdr:cNvCxnSpPr>
          <a:stCxn id="2" idx="1"/>
          <a:endCxn id="3" idx="0"/>
        </xdr:cNvCxnSpPr>
      </xdr:nvCxnSpPr>
      <xdr:spPr>
        <a:xfrm rot="10800000" flipV="1">
          <a:off x="6395316" y="3099154"/>
          <a:ext cx="1211521" cy="3117168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22709</xdr:colOff>
      <xdr:row>36</xdr:row>
      <xdr:rowOff>88524</xdr:rowOff>
    </xdr:from>
    <xdr:to>
      <xdr:col>30</xdr:col>
      <xdr:colOff>575272</xdr:colOff>
      <xdr:row>38</xdr:row>
      <xdr:rowOff>23044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B77EE62C-BE9D-42FE-9582-BF795678656F}"/>
            </a:ext>
          </a:extLst>
        </xdr:cNvPr>
        <xdr:cNvCxnSpPr>
          <a:stCxn id="18" idx="2"/>
          <a:endCxn id="3" idx="3"/>
        </xdr:cNvCxnSpPr>
      </xdr:nvCxnSpPr>
      <xdr:spPr>
        <a:xfrm rot="5400000">
          <a:off x="9570981" y="3820824"/>
          <a:ext cx="297377" cy="4807063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175377</xdr:colOff>
      <xdr:row>8</xdr:row>
      <xdr:rowOff>175687</xdr:rowOff>
    </xdr:from>
    <xdr:to>
      <xdr:col>27</xdr:col>
      <xdr:colOff>199881</xdr:colOff>
      <xdr:row>10</xdr:row>
      <xdr:rowOff>148252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5DF392E-9C7A-45B0-9E89-247D0DB83C2C}"/>
            </a:ext>
          </a:extLst>
        </xdr:cNvPr>
        <xdr:cNvSpPr/>
      </xdr:nvSpPr>
      <xdr:spPr>
        <a:xfrm>
          <a:off x="8076591" y="1082830"/>
          <a:ext cx="1847861" cy="33542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Is there</a:t>
          </a:r>
          <a:r>
            <a:rPr lang="en-MY" baseline="0">
              <a:effectLst/>
            </a:rPr>
            <a:t> have Type N</a:t>
          </a:r>
          <a:endParaRPr lang="en-MY">
            <a:effectLst/>
          </a:endParaRPr>
        </a:p>
      </xdr:txBody>
    </xdr:sp>
    <xdr:clientData/>
  </xdr:twoCellAnchor>
  <xdr:twoCellAnchor>
    <xdr:from>
      <xdr:col>29</xdr:col>
      <xdr:colOff>377672</xdr:colOff>
      <xdr:row>8</xdr:row>
      <xdr:rowOff>178217</xdr:rowOff>
    </xdr:from>
    <xdr:to>
      <xdr:col>30</xdr:col>
      <xdr:colOff>431453</xdr:colOff>
      <xdr:row>10</xdr:row>
      <xdr:rowOff>150782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4296664-FAC9-4A88-8F5A-764DAC4DB15B}"/>
            </a:ext>
          </a:extLst>
        </xdr:cNvPr>
        <xdr:cNvSpPr/>
      </xdr:nvSpPr>
      <xdr:spPr>
        <a:xfrm>
          <a:off x="17505814" y="1661757"/>
          <a:ext cx="660683" cy="34345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twoCellAnchor>
    <xdr:from>
      <xdr:col>25</xdr:col>
      <xdr:colOff>491818</xdr:colOff>
      <xdr:row>10</xdr:row>
      <xdr:rowOff>148252</xdr:rowOff>
    </xdr:from>
    <xdr:to>
      <xdr:col>25</xdr:col>
      <xdr:colOff>493096</xdr:colOff>
      <xdr:row>13</xdr:row>
      <xdr:rowOff>29041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99BBED8E-4599-4598-9A04-FBFAFAA89888}"/>
            </a:ext>
          </a:extLst>
        </xdr:cNvPr>
        <xdr:cNvCxnSpPr>
          <a:stCxn id="21" idx="2"/>
          <a:endCxn id="15" idx="0"/>
        </xdr:cNvCxnSpPr>
      </xdr:nvCxnSpPr>
      <xdr:spPr>
        <a:xfrm flipH="1">
          <a:off x="9000818" y="1418252"/>
          <a:ext cx="1278" cy="4250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199881</xdr:colOff>
      <xdr:row>9</xdr:row>
      <xdr:rowOff>161970</xdr:rowOff>
    </xdr:from>
    <xdr:to>
      <xdr:col>29</xdr:col>
      <xdr:colOff>377672</xdr:colOff>
      <xdr:row>9</xdr:row>
      <xdr:rowOff>164500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8B5DB856-F58F-4A9C-BCDF-C014BFF5FDD1}"/>
            </a:ext>
          </a:extLst>
        </xdr:cNvPr>
        <xdr:cNvCxnSpPr>
          <a:stCxn id="21" idx="3"/>
          <a:endCxn id="22" idx="1"/>
        </xdr:cNvCxnSpPr>
      </xdr:nvCxnSpPr>
      <xdr:spPr>
        <a:xfrm>
          <a:off x="16114217" y="1830952"/>
          <a:ext cx="1391597" cy="25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28</xdr:col>
      <xdr:colOff>42298</xdr:colOff>
      <xdr:row>8</xdr:row>
      <xdr:rowOff>81643</xdr:rowOff>
    </xdr:from>
    <xdr:ext cx="346826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AD8DE3E-E32B-44E2-A090-A8C162769D0B}"/>
            </a:ext>
          </a:extLst>
        </xdr:cNvPr>
        <xdr:cNvSpPr txBox="1"/>
      </xdr:nvSpPr>
      <xdr:spPr>
        <a:xfrm>
          <a:off x="10374655" y="988786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oneCellAnchor>
    <xdr:from>
      <xdr:col>24</xdr:col>
      <xdr:colOff>586356</xdr:colOff>
      <xdr:row>11</xdr:row>
      <xdr:rowOff>7942</xdr:rowOff>
    </xdr:from>
    <xdr:ext cx="385105" cy="264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EB07B1AA-EE61-4FD1-8DA1-63D9076A7D4F}"/>
            </a:ext>
          </a:extLst>
        </xdr:cNvPr>
        <xdr:cNvSpPr txBox="1"/>
      </xdr:nvSpPr>
      <xdr:spPr>
        <a:xfrm>
          <a:off x="8487570" y="1459371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twoCellAnchor>
    <xdr:from>
      <xdr:col>24</xdr:col>
      <xdr:colOff>184054</xdr:colOff>
      <xdr:row>4</xdr:row>
      <xdr:rowOff>32123</xdr:rowOff>
    </xdr:from>
    <xdr:to>
      <xdr:col>27</xdr:col>
      <xdr:colOff>208558</xdr:colOff>
      <xdr:row>6</xdr:row>
      <xdr:rowOff>145144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45B6421C-4A19-499A-8C3A-4880EEB9A4EE}"/>
            </a:ext>
          </a:extLst>
        </xdr:cNvPr>
        <xdr:cNvSpPr/>
      </xdr:nvSpPr>
      <xdr:spPr>
        <a:xfrm>
          <a:off x="8085268" y="757837"/>
          <a:ext cx="1847861" cy="47587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 = First  type </a:t>
          </a:r>
        </a:p>
        <a:p>
          <a:pPr algn="ctr"/>
          <a:r>
            <a:rPr lang="en-MY">
              <a:effectLst/>
            </a:rPr>
            <a:t>(order by type alpahbets)</a:t>
          </a:r>
        </a:p>
      </xdr:txBody>
    </xdr:sp>
    <xdr:clientData/>
  </xdr:twoCellAnchor>
  <xdr:twoCellAnchor>
    <xdr:from>
      <xdr:col>25</xdr:col>
      <xdr:colOff>491522</xdr:colOff>
      <xdr:row>6</xdr:row>
      <xdr:rowOff>145144</xdr:rowOff>
    </xdr:from>
    <xdr:to>
      <xdr:col>25</xdr:col>
      <xdr:colOff>500199</xdr:colOff>
      <xdr:row>8</xdr:row>
      <xdr:rowOff>175687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445CF491-5505-4672-8231-E437EF921803}"/>
            </a:ext>
          </a:extLst>
        </xdr:cNvPr>
        <xdr:cNvCxnSpPr>
          <a:stCxn id="27" idx="2"/>
          <a:endCxn id="21" idx="0"/>
        </xdr:cNvCxnSpPr>
      </xdr:nvCxnSpPr>
      <xdr:spPr>
        <a:xfrm flipH="1">
          <a:off x="9000522" y="1233715"/>
          <a:ext cx="8677" cy="3934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482821</xdr:colOff>
      <xdr:row>27</xdr:row>
      <xdr:rowOff>169260</xdr:rowOff>
    </xdr:from>
    <xdr:to>
      <xdr:col>13</xdr:col>
      <xdr:colOff>589802</xdr:colOff>
      <xdr:row>29</xdr:row>
      <xdr:rowOff>108114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549D004-02D4-4736-8A97-F95F7BD968AD}"/>
            </a:ext>
          </a:extLst>
        </xdr:cNvPr>
        <xdr:cNvSpPr/>
      </xdr:nvSpPr>
      <xdr:spPr>
        <a:xfrm>
          <a:off x="5952892" y="5067831"/>
          <a:ext cx="2538124" cy="30171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4</xdr:col>
      <xdr:colOff>579567</xdr:colOff>
      <xdr:row>16</xdr:row>
      <xdr:rowOff>18913</xdr:rowOff>
    </xdr:from>
    <xdr:to>
      <xdr:col>8</xdr:col>
      <xdr:colOff>153595</xdr:colOff>
      <xdr:row>18</xdr:row>
      <xdr:rowOff>158495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F587AB8-84CD-4F3F-9959-6436F919DFA3}"/>
            </a:ext>
          </a:extLst>
        </xdr:cNvPr>
        <xdr:cNvSpPr/>
      </xdr:nvSpPr>
      <xdr:spPr>
        <a:xfrm>
          <a:off x="3008163" y="2959966"/>
          <a:ext cx="2002625" cy="50721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11</xdr:col>
      <xdr:colOff>535026</xdr:colOff>
      <xdr:row>29</xdr:row>
      <xdr:rowOff>108114</xdr:rowOff>
    </xdr:from>
    <xdr:to>
      <xdr:col>11</xdr:col>
      <xdr:colOff>537218</xdr:colOff>
      <xdr:row>32</xdr:row>
      <xdr:rowOff>74183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9A92174D-FA24-4FE7-A62D-020D43617297}"/>
            </a:ext>
          </a:extLst>
        </xdr:cNvPr>
        <xdr:cNvCxnSpPr>
          <a:stCxn id="51" idx="2"/>
          <a:endCxn id="59" idx="0"/>
        </xdr:cNvCxnSpPr>
      </xdr:nvCxnSpPr>
      <xdr:spPr>
        <a:xfrm flipH="1">
          <a:off x="7220669" y="5369543"/>
          <a:ext cx="2192" cy="51035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480629</xdr:colOff>
      <xdr:row>32</xdr:row>
      <xdr:rowOff>74183</xdr:rowOff>
    </xdr:from>
    <xdr:to>
      <xdr:col>13</xdr:col>
      <xdr:colOff>587610</xdr:colOff>
      <xdr:row>34</xdr:row>
      <xdr:rowOff>153138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F383F921-C521-43F8-A343-AB96196F0DFA}"/>
            </a:ext>
          </a:extLst>
        </xdr:cNvPr>
        <xdr:cNvSpPr/>
      </xdr:nvSpPr>
      <xdr:spPr>
        <a:xfrm>
          <a:off x="5950700" y="5879897"/>
          <a:ext cx="2538124" cy="44181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5</xdr:col>
      <xdr:colOff>106390</xdr:colOff>
      <xdr:row>11</xdr:row>
      <xdr:rowOff>104284</xdr:rowOff>
    </xdr:from>
    <xdr:to>
      <xdr:col>8</xdr:col>
      <xdr:colOff>234534</xdr:colOff>
      <xdr:row>13</xdr:row>
      <xdr:rowOff>178246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6FBB73D-150A-4842-A1D9-D8B5810A6D93}"/>
            </a:ext>
          </a:extLst>
        </xdr:cNvPr>
        <xdr:cNvSpPr/>
      </xdr:nvSpPr>
      <xdr:spPr>
        <a:xfrm>
          <a:off x="3142136" y="2126258"/>
          <a:ext cx="1949591" cy="44159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Assign cluster to each devices</a:t>
          </a:r>
        </a:p>
        <a:p>
          <a:pPr algn="ctr"/>
          <a:r>
            <a:rPr lang="en-MY">
              <a:effectLst/>
            </a:rPr>
            <a:t>(from highest to the lowest)</a:t>
          </a:r>
        </a:p>
      </xdr:txBody>
    </xdr:sp>
    <xdr:clientData/>
  </xdr:twoCellAnchor>
  <xdr:twoCellAnchor>
    <xdr:from>
      <xdr:col>5</xdr:col>
      <xdr:colOff>15485</xdr:colOff>
      <xdr:row>7</xdr:row>
      <xdr:rowOff>117047</xdr:rowOff>
    </xdr:from>
    <xdr:to>
      <xdr:col>8</xdr:col>
      <xdr:colOff>325928</xdr:colOff>
      <xdr:row>9</xdr:row>
      <xdr:rowOff>44956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B5E1594-6216-4060-AA12-7C4A665A1A91}"/>
            </a:ext>
          </a:extLst>
        </xdr:cNvPr>
        <xdr:cNvSpPr/>
      </xdr:nvSpPr>
      <xdr:spPr>
        <a:xfrm>
          <a:off x="3049998" y="1415144"/>
          <a:ext cx="2131151" cy="29879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Prediction % result</a:t>
          </a:r>
          <a:r>
            <a:rPr lang="en-MY" baseline="0">
              <a:effectLst/>
            </a:rPr>
            <a:t> from the model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474037</xdr:colOff>
      <xdr:row>9</xdr:row>
      <xdr:rowOff>44956</xdr:rowOff>
    </xdr:from>
    <xdr:to>
      <xdr:col>6</xdr:col>
      <xdr:colOff>474281</xdr:colOff>
      <xdr:row>11</xdr:row>
      <xdr:rowOff>104284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24685D4E-8EE8-47E1-BC3B-701FCE2110C0}"/>
            </a:ext>
          </a:extLst>
        </xdr:cNvPr>
        <xdr:cNvCxnSpPr>
          <a:stCxn id="68" idx="2"/>
          <a:endCxn id="62" idx="0"/>
        </xdr:cNvCxnSpPr>
      </xdr:nvCxnSpPr>
      <xdr:spPr>
        <a:xfrm flipH="1">
          <a:off x="4116932" y="1699298"/>
          <a:ext cx="244" cy="4269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A76927C-706A-4933-9B5B-8D5CA6EAF96C}"/>
            </a:ext>
          </a:extLst>
        </xdr:cNvPr>
        <xdr:cNvSpPr/>
      </xdr:nvSpPr>
      <xdr:spPr>
        <a:xfrm>
          <a:off x="4202240" y="384308"/>
          <a:ext cx="1925725" cy="4974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8FDBC8E-CF69-46A0-9B67-111DE7729013}"/>
            </a:ext>
          </a:extLst>
        </xdr:cNvPr>
        <xdr:cNvCxnSpPr>
          <a:stCxn id="2" idx="2"/>
          <a:endCxn id="4" idx="0"/>
        </xdr:cNvCxnSpPr>
      </xdr:nvCxnSpPr>
      <xdr:spPr>
        <a:xfrm>
          <a:off x="5165103" y="881743"/>
          <a:ext cx="5821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C4A50F6-2189-408F-80EB-59FD1D6B59AC}"/>
            </a:ext>
          </a:extLst>
        </xdr:cNvPr>
        <xdr:cNvSpPr/>
      </xdr:nvSpPr>
      <xdr:spPr>
        <a:xfrm>
          <a:off x="3792974" y="1263292"/>
          <a:ext cx="2755899" cy="50291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9A65710-8047-4BDC-AA9C-9CEC4C2A0DDC}"/>
            </a:ext>
          </a:extLst>
        </xdr:cNvPr>
        <xdr:cNvSpPr/>
      </xdr:nvSpPr>
      <xdr:spPr>
        <a:xfrm>
          <a:off x="4504994" y="2193393"/>
          <a:ext cx="1335453" cy="49486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A2B7C62-10B9-4378-9050-C9411AF68DC7}"/>
            </a:ext>
          </a:extLst>
        </xdr:cNvPr>
        <xdr:cNvCxnSpPr>
          <a:stCxn id="4" idx="2"/>
          <a:endCxn id="5" idx="0"/>
        </xdr:cNvCxnSpPr>
      </xdr:nvCxnSpPr>
      <xdr:spPr>
        <a:xfrm>
          <a:off x="5170924" y="1766207"/>
          <a:ext cx="1797" cy="4271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46472</xdr:rowOff>
    </xdr:from>
    <xdr:to>
      <xdr:col>12</xdr:col>
      <xdr:colOff>254802</xdr:colOff>
      <xdr:row>13</xdr:row>
      <xdr:rowOff>54138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9B9F70F0-17BA-4184-9F56-F746BA1CE219}"/>
            </a:ext>
          </a:extLst>
        </xdr:cNvPr>
        <xdr:cNvCxnSpPr>
          <a:stCxn id="5" idx="3"/>
          <a:endCxn id="11" idx="1"/>
        </xdr:cNvCxnSpPr>
      </xdr:nvCxnSpPr>
      <xdr:spPr>
        <a:xfrm>
          <a:off x="5840447" y="2440422"/>
          <a:ext cx="1729555" cy="76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126912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FFA2F1F-C25C-4D33-B9A2-2399F043C142}"/>
            </a:ext>
          </a:extLst>
        </xdr:cNvPr>
        <xdr:cNvSpPr txBox="1"/>
      </xdr:nvSpPr>
      <xdr:spPr>
        <a:xfrm>
          <a:off x="6058523" y="2169376"/>
          <a:ext cx="11269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Exceed</a:t>
          </a:r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F87F621-A62F-43E8-B32C-700E23D92597}"/>
            </a:ext>
          </a:extLst>
        </xdr:cNvPr>
        <xdr:cNvSpPr txBox="1"/>
      </xdr:nvSpPr>
      <xdr:spPr>
        <a:xfrm>
          <a:off x="3131073" y="2191351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996781AE-B81D-4EA0-A425-A48C898C8348}"/>
            </a:ext>
          </a:extLst>
        </xdr:cNvPr>
        <xdr:cNvCxnSpPr>
          <a:stCxn id="20" idx="2"/>
          <a:endCxn id="25" idx="0"/>
        </xdr:cNvCxnSpPr>
      </xdr:nvCxnSpPr>
      <xdr:spPr>
        <a:xfrm flipH="1">
          <a:off x="1764927" y="2585571"/>
          <a:ext cx="7068" cy="582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254802</xdr:colOff>
      <xdr:row>11</xdr:row>
      <xdr:rowOff>120606</xdr:rowOff>
    </xdr:from>
    <xdr:to>
      <xdr:col>16</xdr:col>
      <xdr:colOff>240436</xdr:colOff>
      <xdr:row>14</xdr:row>
      <xdr:rowOff>172621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2CFA24D-2340-478A-8A84-605BAE6A259B}"/>
            </a:ext>
          </a:extLst>
        </xdr:cNvPr>
        <xdr:cNvSpPr/>
      </xdr:nvSpPr>
      <xdr:spPr>
        <a:xfrm>
          <a:off x="7570002" y="2146256"/>
          <a:ext cx="2424034" cy="60446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Find exceeded DEVICE ID, </a:t>
          </a:r>
        </a:p>
        <a:p>
          <a:pPr algn="ctr"/>
          <a:r>
            <a:rPr lang="en-GB" sz="1100" baseline="0"/>
            <a:t>by evaluate percentage prediction 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F6A9C78-026F-4C21-B5A3-D20986707B89}"/>
            </a:ext>
          </a:extLst>
        </xdr:cNvPr>
        <xdr:cNvSpPr/>
      </xdr:nvSpPr>
      <xdr:spPr>
        <a:xfrm>
          <a:off x="9801333" y="3300939"/>
          <a:ext cx="2803417" cy="4710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247620</xdr:colOff>
      <xdr:row>14</xdr:row>
      <xdr:rowOff>172621</xdr:rowOff>
    </xdr:from>
    <xdr:to>
      <xdr:col>18</xdr:col>
      <xdr:colOff>230241</xdr:colOff>
      <xdr:row>17</xdr:row>
      <xdr:rowOff>170389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4B4027D1-C2E0-4E75-87C6-3E9C64C15A0D}"/>
            </a:ext>
          </a:extLst>
        </xdr:cNvPr>
        <xdr:cNvCxnSpPr>
          <a:stCxn id="11" idx="2"/>
          <a:endCxn id="12" idx="0"/>
        </xdr:cNvCxnSpPr>
      </xdr:nvCxnSpPr>
      <xdr:spPr>
        <a:xfrm>
          <a:off x="8782020" y="2750721"/>
          <a:ext cx="2421021" cy="5502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151870</xdr:colOff>
      <xdr:row>14</xdr:row>
      <xdr:rowOff>172621</xdr:rowOff>
    </xdr:from>
    <xdr:to>
      <xdr:col>14</xdr:col>
      <xdr:colOff>247620</xdr:colOff>
      <xdr:row>17</xdr:row>
      <xdr:rowOff>160546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9E4FACCE-4926-4A58-A1DD-004AC43EDF99}"/>
            </a:ext>
          </a:extLst>
        </xdr:cNvPr>
        <xdr:cNvCxnSpPr>
          <a:stCxn id="11" idx="2"/>
          <a:endCxn id="17" idx="0"/>
        </xdr:cNvCxnSpPr>
      </xdr:nvCxnSpPr>
      <xdr:spPr>
        <a:xfrm flipH="1">
          <a:off x="7467070" y="2750721"/>
          <a:ext cx="1314950" cy="5403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FA7E0E7-A18B-40E8-BE2B-AE3E84A7F20F}"/>
            </a:ext>
          </a:extLst>
        </xdr:cNvPr>
        <xdr:cNvSpPr/>
      </xdr:nvSpPr>
      <xdr:spPr>
        <a:xfrm>
          <a:off x="10027783" y="4237941"/>
          <a:ext cx="2352025" cy="52105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7C2D1B8B-3295-4FFE-B9C4-9191BF779292}"/>
            </a:ext>
          </a:extLst>
        </xdr:cNvPr>
        <xdr:cNvCxnSpPr>
          <a:stCxn id="12" idx="2"/>
          <a:endCxn id="15" idx="0"/>
        </xdr:cNvCxnSpPr>
      </xdr:nvCxnSpPr>
      <xdr:spPr>
        <a:xfrm>
          <a:off x="11203042" y="3772025"/>
          <a:ext cx="754" cy="46591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608886</xdr:colOff>
      <xdr:row>17</xdr:row>
      <xdr:rowOff>160546</xdr:rowOff>
    </xdr:from>
    <xdr:to>
      <xdr:col>13</xdr:col>
      <xdr:colOff>305195</xdr:colOff>
      <xdr:row>19</xdr:row>
      <xdr:rowOff>84026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C8E1975-47DF-4475-A536-7C6CDF1A30DF}"/>
            </a:ext>
          </a:extLst>
        </xdr:cNvPr>
        <xdr:cNvSpPr/>
      </xdr:nvSpPr>
      <xdr:spPr>
        <a:xfrm>
          <a:off x="6704886" y="3291096"/>
          <a:ext cx="1525109" cy="29178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CED638A-51DD-445F-A2BA-2C926858901B}"/>
            </a:ext>
          </a:extLst>
        </xdr:cNvPr>
        <xdr:cNvSpPr/>
      </xdr:nvSpPr>
      <xdr:spPr>
        <a:xfrm>
          <a:off x="9420012" y="5248888"/>
          <a:ext cx="3595233" cy="45417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E4C5FAF-C75B-4D63-B774-357DF8BF16B7}"/>
            </a:ext>
          </a:extLst>
        </xdr:cNvPr>
        <xdr:cNvCxnSpPr>
          <a:stCxn id="15" idx="2"/>
          <a:endCxn id="18" idx="0"/>
        </xdr:cNvCxnSpPr>
      </xdr:nvCxnSpPr>
      <xdr:spPr>
        <a:xfrm>
          <a:off x="11203796" y="4758995"/>
          <a:ext cx="13833" cy="48989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4784A6D5-8C9D-41EB-92A3-FED12B5F151E}"/>
            </a:ext>
          </a:extLst>
        </xdr:cNvPr>
        <xdr:cNvSpPr/>
      </xdr:nvSpPr>
      <xdr:spPr>
        <a:xfrm>
          <a:off x="841189" y="2301946"/>
          <a:ext cx="1858622" cy="2836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A96441A1-A507-47F7-8CE0-B008C8D8026F}"/>
            </a:ext>
          </a:extLst>
        </xdr:cNvPr>
        <xdr:cNvCxnSpPr/>
      </xdr:nvCxnSpPr>
      <xdr:spPr>
        <a:xfrm rot="10800000">
          <a:off x="6517367" y="1591646"/>
          <a:ext cx="6499313" cy="4659417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1320519-A5A0-4309-9F1C-C6BC59EDA05C}"/>
            </a:ext>
          </a:extLst>
        </xdr:cNvPr>
        <xdr:cNvSpPr/>
      </xdr:nvSpPr>
      <xdr:spPr>
        <a:xfrm>
          <a:off x="9425236" y="6085245"/>
          <a:ext cx="3595233" cy="26803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F408DF8A-B826-429C-A2A3-85701F320982}"/>
            </a:ext>
          </a:extLst>
        </xdr:cNvPr>
        <xdr:cNvCxnSpPr>
          <a:stCxn id="18" idx="2"/>
          <a:endCxn id="22" idx="0"/>
        </xdr:cNvCxnSpPr>
      </xdr:nvCxnSpPr>
      <xdr:spPr>
        <a:xfrm>
          <a:off x="11217628" y="5703059"/>
          <a:ext cx="5224" cy="3821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3B7B2B3-6315-4106-B871-D9EA92C2D536}"/>
            </a:ext>
          </a:extLst>
        </xdr:cNvPr>
        <xdr:cNvCxnSpPr>
          <a:stCxn id="5" idx="1"/>
          <a:endCxn id="20" idx="3"/>
        </xdr:cNvCxnSpPr>
      </xdr:nvCxnSpPr>
      <xdr:spPr>
        <a:xfrm flipH="1">
          <a:off x="2699811" y="2439516"/>
          <a:ext cx="1805183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7E55C21F-9196-4CD1-8709-9698D5664FDF}"/>
            </a:ext>
          </a:extLst>
        </xdr:cNvPr>
        <xdr:cNvSpPr/>
      </xdr:nvSpPr>
      <xdr:spPr>
        <a:xfrm>
          <a:off x="463176" y="3167904"/>
          <a:ext cx="2600512" cy="31509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A16DA6D8-738F-4D70-8198-EDFB04DD064F}"/>
            </a:ext>
          </a:extLst>
        </xdr:cNvPr>
        <xdr:cNvSpPr/>
      </xdr:nvSpPr>
      <xdr:spPr>
        <a:xfrm>
          <a:off x="384082" y="3909233"/>
          <a:ext cx="2763383" cy="29439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14E2BC55-976E-484A-B1EC-4727049ABFFD}"/>
            </a:ext>
          </a:extLst>
        </xdr:cNvPr>
        <xdr:cNvCxnSpPr>
          <a:stCxn id="25" idx="2"/>
          <a:endCxn id="26" idx="0"/>
        </xdr:cNvCxnSpPr>
      </xdr:nvCxnSpPr>
      <xdr:spPr>
        <a:xfrm>
          <a:off x="1764927" y="3482994"/>
          <a:ext cx="2341" cy="42623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570847</xdr:colOff>
      <xdr:row>57</xdr:row>
      <xdr:rowOff>182242</xdr:rowOff>
    </xdr:from>
    <xdr:to>
      <xdr:col>11</xdr:col>
      <xdr:colOff>286231</xdr:colOff>
      <xdr:row>60</xdr:row>
      <xdr:rowOff>73959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EBF49B-D2A4-42A3-9BAF-3C4740A0FB34}"/>
            </a:ext>
          </a:extLst>
        </xdr:cNvPr>
        <xdr:cNvSpPr/>
      </xdr:nvSpPr>
      <xdr:spPr>
        <a:xfrm>
          <a:off x="4231435" y="8960183"/>
          <a:ext cx="2765874" cy="45201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Sum Type N quantity as</a:t>
          </a:r>
          <a:r>
            <a:rPr lang="en-MY" baseline="0">
              <a:effectLst/>
            </a:rPr>
            <a:t> Q</a:t>
          </a:r>
          <a:r>
            <a:rPr lang="en-MY">
              <a:effectLst/>
            </a:rPr>
            <a:t>. </a:t>
          </a:r>
        </a:p>
        <a:p>
          <a:pPr algn="ctr"/>
          <a:r>
            <a:rPr lang="en-MY">
              <a:effectLst/>
            </a:rPr>
            <a:t>Compare with</a:t>
          </a:r>
          <a:r>
            <a:rPr lang="en-MY" baseline="0">
              <a:effectLst/>
            </a:rPr>
            <a:t> target quantity T</a:t>
          </a:r>
          <a:endParaRPr lang="en-MY">
            <a:effectLst/>
          </a:endParaRPr>
        </a:p>
      </xdr:txBody>
    </xdr:sp>
    <xdr:clientData/>
  </xdr:twoCellAnchor>
  <xdr:twoCellAnchor>
    <xdr:from>
      <xdr:col>3</xdr:col>
      <xdr:colOff>264367</xdr:colOff>
      <xdr:row>76</xdr:row>
      <xdr:rowOff>58991</xdr:rowOff>
    </xdr:from>
    <xdr:to>
      <xdr:col>6</xdr:col>
      <xdr:colOff>280149</xdr:colOff>
      <xdr:row>78</xdr:row>
      <xdr:rowOff>8421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5A9BB3F-28C5-4C27-A37B-4EC06E10099A}"/>
            </a:ext>
          </a:extLst>
        </xdr:cNvPr>
        <xdr:cNvSpPr/>
      </xdr:nvSpPr>
      <xdr:spPr>
        <a:xfrm>
          <a:off x="2107915" y="12226410"/>
          <a:ext cx="1859331" cy="3181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</a:t>
          </a:r>
          <a:r>
            <a:rPr lang="en-MY" baseline="0">
              <a:effectLst/>
            </a:rPr>
            <a:t> = N + 1 (next type)</a:t>
          </a:r>
          <a:endParaRPr lang="en-MY">
            <a:effectLst/>
          </a:endParaRPr>
        </a:p>
      </xdr:txBody>
    </xdr:sp>
    <xdr:clientData/>
  </xdr:twoCellAnchor>
  <xdr:twoCellAnchor>
    <xdr:from>
      <xdr:col>12</xdr:col>
      <xdr:colOff>144886</xdr:colOff>
      <xdr:row>63</xdr:row>
      <xdr:rowOff>74983</xdr:rowOff>
    </xdr:from>
    <xdr:to>
      <xdr:col>16</xdr:col>
      <xdr:colOff>244446</xdr:colOff>
      <xdr:row>65</xdr:row>
      <xdr:rowOff>12684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94A774F-424A-4FC8-89FD-940ED247D7D9}"/>
            </a:ext>
          </a:extLst>
        </xdr:cNvPr>
        <xdr:cNvSpPr/>
      </xdr:nvSpPr>
      <xdr:spPr>
        <a:xfrm>
          <a:off x="7466062" y="9973512"/>
          <a:ext cx="2539953" cy="31123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123367</xdr:colOff>
      <xdr:row>60</xdr:row>
      <xdr:rowOff>73959</xdr:rowOff>
    </xdr:from>
    <xdr:to>
      <xdr:col>14</xdr:col>
      <xdr:colOff>194789</xdr:colOff>
      <xdr:row>63</xdr:row>
      <xdr:rowOff>74983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CB685778-4C94-406B-BF79-078209CD4C58}"/>
            </a:ext>
          </a:extLst>
        </xdr:cNvPr>
        <xdr:cNvCxnSpPr>
          <a:stCxn id="28" idx="2"/>
          <a:endCxn id="30" idx="0"/>
        </xdr:cNvCxnSpPr>
      </xdr:nvCxnSpPr>
      <xdr:spPr>
        <a:xfrm>
          <a:off x="5614249" y="9412194"/>
          <a:ext cx="3121913" cy="5613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576289</xdr:colOff>
      <xdr:row>66</xdr:row>
      <xdr:rowOff>34636</xdr:rowOff>
    </xdr:from>
    <xdr:to>
      <xdr:col>9</xdr:col>
      <xdr:colOff>122275</xdr:colOff>
      <xdr:row>76</xdr:row>
      <xdr:rowOff>58991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8DF7A6D4-028C-4711-B1B1-E9469F8D9965}"/>
            </a:ext>
          </a:extLst>
        </xdr:cNvPr>
        <xdr:cNvCxnSpPr>
          <a:cxnSpLocks/>
          <a:stCxn id="50" idx="2"/>
          <a:endCxn id="29" idx="0"/>
        </xdr:cNvCxnSpPr>
      </xdr:nvCxnSpPr>
      <xdr:spPr>
        <a:xfrm flipH="1">
          <a:off x="3008531" y="12226636"/>
          <a:ext cx="2586289" cy="18716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252070</xdr:colOff>
      <xdr:row>63</xdr:row>
      <xdr:rowOff>19556</xdr:rowOff>
    </xdr:from>
    <xdr:ext cx="392864" cy="264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A79BEC08-DD3B-E292-7CE0-7A0B9A4EB311}"/>
            </a:ext>
          </a:extLst>
        </xdr:cNvPr>
        <xdr:cNvSpPr txBox="1"/>
      </xdr:nvSpPr>
      <xdr:spPr>
        <a:xfrm>
          <a:off x="2710135" y="9790362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12</xdr:col>
      <xdr:colOff>284157</xdr:colOff>
      <xdr:row>60</xdr:row>
      <xdr:rowOff>140121</xdr:rowOff>
    </xdr:from>
    <xdr:ext cx="590867" cy="264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407240FF-7424-4C5A-9BB2-D78DB23C72A6}"/>
            </a:ext>
          </a:extLst>
        </xdr:cNvPr>
        <xdr:cNvSpPr txBox="1"/>
      </xdr:nvSpPr>
      <xdr:spPr>
        <a:xfrm>
          <a:off x="7603368" y="9330910"/>
          <a:ext cx="5908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</a:t>
          </a:r>
        </a:p>
      </xdr:txBody>
    </xdr:sp>
    <xdr:clientData/>
  </xdr:oneCellAnchor>
  <xdr:twoCellAnchor>
    <xdr:from>
      <xdr:col>3</xdr:col>
      <xdr:colOff>264367</xdr:colOff>
      <xdr:row>49</xdr:row>
      <xdr:rowOff>6925</xdr:rowOff>
    </xdr:from>
    <xdr:to>
      <xdr:col>7</xdr:col>
      <xdr:colOff>430508</xdr:colOff>
      <xdr:row>77</xdr:row>
      <xdr:rowOff>33706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108087D7-E8DA-5642-7882-4EE0BCB91878}"/>
            </a:ext>
          </a:extLst>
        </xdr:cNvPr>
        <xdr:cNvCxnSpPr>
          <a:stCxn id="29" idx="1"/>
          <a:endCxn id="125" idx="1"/>
        </xdr:cNvCxnSpPr>
      </xdr:nvCxnSpPr>
      <xdr:spPr>
        <a:xfrm rot="10800000" flipH="1">
          <a:off x="2096098" y="7245925"/>
          <a:ext cx="2608448" cy="5224012"/>
        </a:xfrm>
        <a:prstGeom prst="bentConnector3">
          <a:avLst>
            <a:gd name="adj1" fmla="val -8764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339180</xdr:colOff>
      <xdr:row>63</xdr:row>
      <xdr:rowOff>80601</xdr:rowOff>
    </xdr:from>
    <xdr:to>
      <xdr:col>10</xdr:col>
      <xdr:colOff>513430</xdr:colOff>
      <xdr:row>66</xdr:row>
      <xdr:rowOff>34636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ADF8C1-02B4-46D7-952F-55EF7819FEFF}"/>
            </a:ext>
          </a:extLst>
        </xdr:cNvPr>
        <xdr:cNvSpPr/>
      </xdr:nvSpPr>
      <xdr:spPr>
        <a:xfrm>
          <a:off x="4595604" y="11718419"/>
          <a:ext cx="1998432" cy="50821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122275</xdr:colOff>
      <xdr:row>60</xdr:row>
      <xdr:rowOff>73959</xdr:rowOff>
    </xdr:from>
    <xdr:to>
      <xdr:col>9</xdr:col>
      <xdr:colOff>124510</xdr:colOff>
      <xdr:row>63</xdr:row>
      <xdr:rowOff>80601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3A3B16E5-C34B-4F95-A3D0-4BB829536D58}"/>
            </a:ext>
          </a:extLst>
        </xdr:cNvPr>
        <xdr:cNvCxnSpPr>
          <a:stCxn id="28" idx="2"/>
          <a:endCxn id="50" idx="0"/>
        </xdr:cNvCxnSpPr>
      </xdr:nvCxnSpPr>
      <xdr:spPr>
        <a:xfrm flipH="1">
          <a:off x="5594820" y="11157595"/>
          <a:ext cx="2235" cy="56082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156160</xdr:colOff>
      <xdr:row>61</xdr:row>
      <xdr:rowOff>57871</xdr:rowOff>
    </xdr:from>
    <xdr:ext cx="662233" cy="264560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666FE31-95AC-4FD9-9976-67BE37C269E9}"/>
            </a:ext>
          </a:extLst>
        </xdr:cNvPr>
        <xdr:cNvSpPr txBox="1"/>
      </xdr:nvSpPr>
      <xdr:spPr>
        <a:xfrm>
          <a:off x="5656079" y="9459968"/>
          <a:ext cx="6622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Vacancy</a:t>
          </a:r>
        </a:p>
      </xdr:txBody>
    </xdr:sp>
    <xdr:clientData/>
  </xdr:oneCellAnchor>
  <xdr:twoCellAnchor>
    <xdr:from>
      <xdr:col>14</xdr:col>
      <xdr:colOff>192474</xdr:colOff>
      <xdr:row>65</xdr:row>
      <xdr:rowOff>12684</xdr:rowOff>
    </xdr:from>
    <xdr:to>
      <xdr:col>14</xdr:col>
      <xdr:colOff>194666</xdr:colOff>
      <xdr:row>67</xdr:row>
      <xdr:rowOff>161747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F774604C-AD8E-47DE-B4F1-9BB52B437733}"/>
            </a:ext>
          </a:extLst>
        </xdr:cNvPr>
        <xdr:cNvCxnSpPr>
          <a:stCxn id="30" idx="2"/>
          <a:endCxn id="68" idx="0"/>
        </xdr:cNvCxnSpPr>
      </xdr:nvCxnSpPr>
      <xdr:spPr>
        <a:xfrm flipH="1">
          <a:off x="8698733" y="10063044"/>
          <a:ext cx="2192" cy="5145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142694</xdr:colOff>
      <xdr:row>67</xdr:row>
      <xdr:rowOff>161747</xdr:rowOff>
    </xdr:from>
    <xdr:to>
      <xdr:col>16</xdr:col>
      <xdr:colOff>242254</xdr:colOff>
      <xdr:row>70</xdr:row>
      <xdr:rowOff>54820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5B1F5AD-20EE-4155-8D8B-997C3CBEBA05}"/>
            </a:ext>
          </a:extLst>
        </xdr:cNvPr>
        <xdr:cNvSpPr/>
      </xdr:nvSpPr>
      <xdr:spPr>
        <a:xfrm>
          <a:off x="7433773" y="10577574"/>
          <a:ext cx="2529920" cy="44127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6</xdr:col>
      <xdr:colOff>579266</xdr:colOff>
      <xdr:row>52</xdr:row>
      <xdr:rowOff>54137</xdr:rowOff>
    </xdr:from>
    <xdr:to>
      <xdr:col>11</xdr:col>
      <xdr:colOff>296769</xdr:colOff>
      <xdr:row>54</xdr:row>
      <xdr:rowOff>128525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0833F55-9AFB-44F4-B8BB-C66FF3E30950}"/>
            </a:ext>
          </a:extLst>
        </xdr:cNvPr>
        <xdr:cNvSpPr/>
      </xdr:nvSpPr>
      <xdr:spPr>
        <a:xfrm>
          <a:off x="4232691" y="7726329"/>
          <a:ext cx="2762023" cy="43973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Evaluate</a:t>
          </a:r>
          <a:r>
            <a:rPr lang="en-MY" baseline="0">
              <a:effectLst/>
            </a:rPr>
            <a:t> Device Type N is </a:t>
          </a:r>
        </a:p>
        <a:p>
          <a:pPr algn="ctr"/>
          <a:r>
            <a:rPr lang="en-MY" baseline="0">
              <a:effectLst/>
            </a:rPr>
            <a:t>full, exceeded or vacancy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124087</xdr:colOff>
      <xdr:row>54</xdr:row>
      <xdr:rowOff>128525</xdr:rowOff>
    </xdr:from>
    <xdr:to>
      <xdr:col>9</xdr:col>
      <xdr:colOff>133566</xdr:colOff>
      <xdr:row>57</xdr:row>
      <xdr:rowOff>182242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837D2CAB-4193-4FDF-84A9-AC4C4F0BE4B1}"/>
            </a:ext>
          </a:extLst>
        </xdr:cNvPr>
        <xdr:cNvCxnSpPr>
          <a:stCxn id="73" idx="2"/>
          <a:endCxn id="28" idx="0"/>
        </xdr:cNvCxnSpPr>
      </xdr:nvCxnSpPr>
      <xdr:spPr>
        <a:xfrm flipH="1">
          <a:off x="5604224" y="8166059"/>
          <a:ext cx="9479" cy="60173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192474</xdr:colOff>
      <xdr:row>70</xdr:row>
      <xdr:rowOff>54820</xdr:rowOff>
    </xdr:from>
    <xdr:to>
      <xdr:col>14</xdr:col>
      <xdr:colOff>204639</xdr:colOff>
      <xdr:row>73</xdr:row>
      <xdr:rowOff>23112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6CC00527-ADCD-44BA-BBE8-B0224A3E9BB0}"/>
            </a:ext>
          </a:extLst>
        </xdr:cNvPr>
        <xdr:cNvCxnSpPr>
          <a:stCxn id="68" idx="2"/>
          <a:endCxn id="80" idx="0"/>
        </xdr:cNvCxnSpPr>
      </xdr:nvCxnSpPr>
      <xdr:spPr>
        <a:xfrm>
          <a:off x="8710118" y="11026024"/>
          <a:ext cx="12165" cy="5168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154859</xdr:colOff>
      <xdr:row>73</xdr:row>
      <xdr:rowOff>23112</xdr:rowOff>
    </xdr:from>
    <xdr:to>
      <xdr:col>16</xdr:col>
      <xdr:colOff>254419</xdr:colOff>
      <xdr:row>75</xdr:row>
      <xdr:rowOff>103063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9EAACB7-94F6-4FF0-97D0-10FD31FEF80C}"/>
            </a:ext>
          </a:extLst>
        </xdr:cNvPr>
        <xdr:cNvSpPr/>
      </xdr:nvSpPr>
      <xdr:spPr>
        <a:xfrm>
          <a:off x="7455697" y="11542876"/>
          <a:ext cx="2533172" cy="44565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Transfer all the device after count</a:t>
          </a:r>
          <a:r>
            <a:rPr lang="en-MY" baseline="0">
              <a:effectLst/>
            </a:rPr>
            <a:t> of Q to </a:t>
          </a:r>
          <a:r>
            <a:rPr lang="en-MY" b="1" baseline="0">
              <a:solidFill>
                <a:srgbClr val="FFC000"/>
              </a:solidFill>
              <a:effectLst/>
            </a:rPr>
            <a:t>reassign poll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4</xdr:col>
      <xdr:colOff>579517</xdr:colOff>
      <xdr:row>59</xdr:row>
      <xdr:rowOff>35923</xdr:rowOff>
    </xdr:from>
    <xdr:to>
      <xdr:col>6</xdr:col>
      <xdr:colOff>570848</xdr:colOff>
      <xdr:row>76</xdr:row>
      <xdr:rowOff>58991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27C14648-DE36-67B9-6100-1D1AC09A9D5E}"/>
            </a:ext>
          </a:extLst>
        </xdr:cNvPr>
        <xdr:cNvCxnSpPr>
          <a:stCxn id="28" idx="1"/>
          <a:endCxn id="29" idx="0"/>
        </xdr:cNvCxnSpPr>
      </xdr:nvCxnSpPr>
      <xdr:spPr>
        <a:xfrm rot="10800000" flipV="1">
          <a:off x="3037582" y="9069310"/>
          <a:ext cx="1220363" cy="3157100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280149</xdr:colOff>
      <xdr:row>75</xdr:row>
      <xdr:rowOff>103064</xdr:rowOff>
    </xdr:from>
    <xdr:to>
      <xdr:col>14</xdr:col>
      <xdr:colOff>204639</xdr:colOff>
      <xdr:row>77</xdr:row>
      <xdr:rowOff>33707</xdr:rowOff>
    </xdr:to>
    <xdr:cxnSp macro="">
      <xdr:nvCxnSpPr>
        <xdr:cNvPr id="115" name="Connector: Elbow 114">
          <a:extLst>
            <a:ext uri="{FF2B5EF4-FFF2-40B4-BE49-F238E27FC236}">
              <a16:creationId xmlns:a16="http://schemas.microsoft.com/office/drawing/2014/main" id="{3EF83E3A-79F4-3256-60CC-46D02642ACE4}"/>
            </a:ext>
          </a:extLst>
        </xdr:cNvPr>
        <xdr:cNvCxnSpPr>
          <a:stCxn id="80" idx="2"/>
          <a:endCxn id="29" idx="3"/>
        </xdr:cNvCxnSpPr>
      </xdr:nvCxnSpPr>
      <xdr:spPr>
        <a:xfrm rot="5400000">
          <a:off x="6237880" y="9815495"/>
          <a:ext cx="299352" cy="4840619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430508</xdr:colOff>
      <xdr:row>48</xdr:row>
      <xdr:rowOff>21663</xdr:rowOff>
    </xdr:from>
    <xdr:to>
      <xdr:col>10</xdr:col>
      <xdr:colOff>448084</xdr:colOff>
      <xdr:row>49</xdr:row>
      <xdr:rowOff>177801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9536E3F-45C2-41A8-AF34-926BB992F957}"/>
            </a:ext>
          </a:extLst>
        </xdr:cNvPr>
        <xdr:cNvSpPr/>
      </xdr:nvSpPr>
      <xdr:spPr>
        <a:xfrm>
          <a:off x="4704546" y="7075048"/>
          <a:ext cx="1849307" cy="34175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Is there</a:t>
          </a:r>
          <a:r>
            <a:rPr lang="en-MY" baseline="0">
              <a:effectLst/>
            </a:rPr>
            <a:t> have next Type N</a:t>
          </a:r>
          <a:endParaRPr lang="en-MY">
            <a:effectLst/>
          </a:endParaRPr>
        </a:p>
      </xdr:txBody>
    </xdr:sp>
    <xdr:clientData/>
  </xdr:twoCellAnchor>
  <xdr:twoCellAnchor>
    <xdr:from>
      <xdr:col>12</xdr:col>
      <xdr:colOff>604399</xdr:colOff>
      <xdr:row>48</xdr:row>
      <xdr:rowOff>7335</xdr:rowOff>
    </xdr:from>
    <xdr:to>
      <xdr:col>14</xdr:col>
      <xdr:colOff>43962</xdr:colOff>
      <xdr:row>49</xdr:row>
      <xdr:rowOff>163473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5417783-3C84-4769-9388-BD4BC7C85CBC}"/>
            </a:ext>
          </a:extLst>
        </xdr:cNvPr>
        <xdr:cNvSpPr/>
      </xdr:nvSpPr>
      <xdr:spPr>
        <a:xfrm>
          <a:off x="7931322" y="7060720"/>
          <a:ext cx="660717" cy="34175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twoCellAnchor>
    <xdr:from>
      <xdr:col>9</xdr:col>
      <xdr:colOff>132730</xdr:colOff>
      <xdr:row>49</xdr:row>
      <xdr:rowOff>177801</xdr:rowOff>
    </xdr:from>
    <xdr:to>
      <xdr:col>9</xdr:col>
      <xdr:colOff>134008</xdr:colOff>
      <xdr:row>52</xdr:row>
      <xdr:rowOff>54137</xdr:rowOff>
    </xdr:to>
    <xdr:cxnSp macro="">
      <xdr:nvCxnSpPr>
        <xdr:cNvPr id="128" name="Straight Arrow Connector 127">
          <a:extLst>
            <a:ext uri="{FF2B5EF4-FFF2-40B4-BE49-F238E27FC236}">
              <a16:creationId xmlns:a16="http://schemas.microsoft.com/office/drawing/2014/main" id="{9F577D97-4693-443A-A4D5-B1FD7B54448A}"/>
            </a:ext>
          </a:extLst>
        </xdr:cNvPr>
        <xdr:cNvCxnSpPr>
          <a:stCxn id="125" idx="2"/>
          <a:endCxn id="73" idx="0"/>
        </xdr:cNvCxnSpPr>
      </xdr:nvCxnSpPr>
      <xdr:spPr>
        <a:xfrm flipH="1">
          <a:off x="5627922" y="7416801"/>
          <a:ext cx="1278" cy="4331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448084</xdr:colOff>
      <xdr:row>48</xdr:row>
      <xdr:rowOff>178212</xdr:rowOff>
    </xdr:from>
    <xdr:to>
      <xdr:col>12</xdr:col>
      <xdr:colOff>604399</xdr:colOff>
      <xdr:row>49</xdr:row>
      <xdr:rowOff>6925</xdr:rowOff>
    </xdr:to>
    <xdr:cxnSp macro="">
      <xdr:nvCxnSpPr>
        <xdr:cNvPr id="131" name="Straight Arrow Connector 130">
          <a:extLst>
            <a:ext uri="{FF2B5EF4-FFF2-40B4-BE49-F238E27FC236}">
              <a16:creationId xmlns:a16="http://schemas.microsoft.com/office/drawing/2014/main" id="{F0CCBB62-C0DA-434E-846A-896D46F7322D}"/>
            </a:ext>
          </a:extLst>
        </xdr:cNvPr>
        <xdr:cNvCxnSpPr>
          <a:stCxn id="125" idx="3"/>
          <a:endCxn id="127" idx="1"/>
        </xdr:cNvCxnSpPr>
      </xdr:nvCxnSpPr>
      <xdr:spPr>
        <a:xfrm flipV="1">
          <a:off x="6553853" y="7231597"/>
          <a:ext cx="1377469" cy="143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288192</xdr:colOff>
      <xdr:row>47</xdr:row>
      <xdr:rowOff>112346</xdr:rowOff>
    </xdr:from>
    <xdr:ext cx="346826" cy="264560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D6DE7E61-F878-4443-92A7-4B82F5727BD8}"/>
            </a:ext>
          </a:extLst>
        </xdr:cNvPr>
        <xdr:cNvSpPr txBox="1"/>
      </xdr:nvSpPr>
      <xdr:spPr>
        <a:xfrm>
          <a:off x="7004538" y="6980115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oneCellAnchor>
    <xdr:from>
      <xdr:col>8</xdr:col>
      <xdr:colOff>229577</xdr:colOff>
      <xdr:row>50</xdr:row>
      <xdr:rowOff>34192</xdr:rowOff>
    </xdr:from>
    <xdr:ext cx="385105" cy="264560"/>
    <xdr:sp macro="" textlink="">
      <xdr:nvSpPr>
        <xdr:cNvPr id="136" name="TextBox 135">
          <a:extLst>
            <a:ext uri="{FF2B5EF4-FFF2-40B4-BE49-F238E27FC236}">
              <a16:creationId xmlns:a16="http://schemas.microsoft.com/office/drawing/2014/main" id="{88C52600-7E20-4FCD-9A52-CFEEBEF161DD}"/>
            </a:ext>
          </a:extLst>
        </xdr:cNvPr>
        <xdr:cNvSpPr txBox="1"/>
      </xdr:nvSpPr>
      <xdr:spPr>
        <a:xfrm>
          <a:off x="5114192" y="7458807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twoCellAnchor editAs="oneCell">
    <xdr:from>
      <xdr:col>22</xdr:col>
      <xdr:colOff>303397</xdr:colOff>
      <xdr:row>38</xdr:row>
      <xdr:rowOff>130061</xdr:rowOff>
    </xdr:from>
    <xdr:to>
      <xdr:col>26</xdr:col>
      <xdr:colOff>235019</xdr:colOff>
      <xdr:row>52</xdr:row>
      <xdr:rowOff>7651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480D6CA7-9E45-6509-021E-E0697839A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36770" y="7107410"/>
          <a:ext cx="2379815" cy="24481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565727</xdr:colOff>
      <xdr:row>55</xdr:row>
      <xdr:rowOff>184619</xdr:rowOff>
    </xdr:from>
    <xdr:to>
      <xdr:col>32</xdr:col>
      <xdr:colOff>293254</xdr:colOff>
      <xdr:row>69</xdr:row>
      <xdr:rowOff>174336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B3FCBCA8-2E72-E6F9-C049-C18AFCED6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24727" y="10344619"/>
          <a:ext cx="4622800" cy="2575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854076</xdr:colOff>
      <xdr:row>15</xdr:row>
      <xdr:rowOff>62635</xdr:rowOff>
    </xdr:from>
    <xdr:to>
      <xdr:col>12</xdr:col>
      <xdr:colOff>1601137</xdr:colOff>
      <xdr:row>23</xdr:row>
      <xdr:rowOff>11838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C90BAFBD-B84C-47FB-B378-BC651347F8AB}"/>
            </a:ext>
          </a:extLst>
        </xdr:cNvPr>
        <xdr:cNvCxnSpPr/>
      </xdr:nvCxnSpPr>
      <xdr:spPr>
        <a:xfrm rot="16200000" flipH="1">
          <a:off x="9724483" y="8856774"/>
          <a:ext cx="1450112" cy="747061"/>
        </a:xfrm>
        <a:prstGeom prst="bentConnector3">
          <a:avLst>
            <a:gd name="adj1" fmla="val 100259"/>
          </a:avLst>
        </a:prstGeom>
        <a:ln w="57150"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69850</xdr:colOff>
      <xdr:row>15</xdr:row>
      <xdr:rowOff>95250</xdr:rowOff>
    </xdr:from>
    <xdr:to>
      <xdr:col>16</xdr:col>
      <xdr:colOff>450850</xdr:colOff>
      <xdr:row>23</xdr:row>
      <xdr:rowOff>14568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AEC9654B-97B4-42DC-B105-EA679D3F380D}"/>
            </a:ext>
          </a:extLst>
        </xdr:cNvPr>
        <xdr:cNvCxnSpPr/>
      </xdr:nvCxnSpPr>
      <xdr:spPr>
        <a:xfrm rot="5400000" flipH="1" flipV="1">
          <a:off x="10441641" y="8741709"/>
          <a:ext cx="1392518" cy="381000"/>
        </a:xfrm>
        <a:prstGeom prst="bentConnector3">
          <a:avLst>
            <a:gd name="adj1" fmla="val 264"/>
          </a:avLst>
        </a:prstGeom>
        <a:ln w="57150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143700</xdr:colOff>
      <xdr:row>23</xdr:row>
      <xdr:rowOff>92364</xdr:rowOff>
    </xdr:from>
    <xdr:to>
      <xdr:col>18</xdr:col>
      <xdr:colOff>484909</xdr:colOff>
      <xdr:row>23</xdr:row>
      <xdr:rowOff>94424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E10537-0C29-36A9-A1FB-DBDFFF793894}"/>
            </a:ext>
          </a:extLst>
        </xdr:cNvPr>
        <xdr:cNvCxnSpPr/>
      </xdr:nvCxnSpPr>
      <xdr:spPr>
        <a:xfrm flipV="1">
          <a:off x="13028427" y="4387273"/>
          <a:ext cx="1449573" cy="2060"/>
        </a:xfrm>
        <a:prstGeom prst="straightConnector1">
          <a:avLst/>
        </a:prstGeom>
        <a:ln w="571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1194955</xdr:colOff>
      <xdr:row>14</xdr:row>
      <xdr:rowOff>7468</xdr:rowOff>
    </xdr:from>
    <xdr:to>
      <xdr:col>1</xdr:col>
      <xdr:colOff>1942016</xdr:colOff>
      <xdr:row>21</xdr:row>
      <xdr:rowOff>134471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3AF01764-C047-4C64-87E1-5159F5177920}"/>
            </a:ext>
          </a:extLst>
        </xdr:cNvPr>
        <xdr:cNvCxnSpPr/>
      </xdr:nvCxnSpPr>
      <xdr:spPr>
        <a:xfrm rot="16200000" flipH="1">
          <a:off x="1180269" y="8609086"/>
          <a:ext cx="1440298" cy="747061"/>
        </a:xfrm>
        <a:prstGeom prst="bentConnector3">
          <a:avLst>
            <a:gd name="adj1" fmla="val 100259"/>
          </a:avLst>
        </a:prstGeom>
        <a:ln w="57150"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113685</xdr:colOff>
      <xdr:row>14</xdr:row>
      <xdr:rowOff>72757</xdr:rowOff>
    </xdr:from>
    <xdr:to>
      <xdr:col>5</xdr:col>
      <xdr:colOff>494685</xdr:colOff>
      <xdr:row>21</xdr:row>
      <xdr:rowOff>169875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0F57FDFE-A4DC-4F99-928E-AC405C502801}"/>
            </a:ext>
          </a:extLst>
        </xdr:cNvPr>
        <xdr:cNvCxnSpPr/>
      </xdr:nvCxnSpPr>
      <xdr:spPr>
        <a:xfrm rot="5400000" flipH="1" flipV="1">
          <a:off x="10415626" y="4026566"/>
          <a:ext cx="1430618" cy="381000"/>
        </a:xfrm>
        <a:prstGeom prst="bentConnector3">
          <a:avLst>
            <a:gd name="adj1" fmla="val 264"/>
          </a:avLst>
        </a:prstGeom>
        <a:ln w="57150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21</xdr:col>
      <xdr:colOff>83208</xdr:colOff>
      <xdr:row>23</xdr:row>
      <xdr:rowOff>39582</xdr:rowOff>
    </xdr:from>
    <xdr:to>
      <xdr:col>21</xdr:col>
      <xdr:colOff>1281542</xdr:colOff>
      <xdr:row>23</xdr:row>
      <xdr:rowOff>46182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FD1FC7B-D712-4ABD-A775-A56FA746AC68}"/>
            </a:ext>
          </a:extLst>
        </xdr:cNvPr>
        <xdr:cNvCxnSpPr/>
      </xdr:nvCxnSpPr>
      <xdr:spPr>
        <a:xfrm>
          <a:off x="15912026" y="4334491"/>
          <a:ext cx="1198334" cy="6600"/>
        </a:xfrm>
        <a:prstGeom prst="straightConnector1">
          <a:avLst/>
        </a:prstGeom>
        <a:ln w="571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1194955</xdr:colOff>
      <xdr:row>43</xdr:row>
      <xdr:rowOff>7468</xdr:rowOff>
    </xdr:from>
    <xdr:to>
      <xdr:col>1</xdr:col>
      <xdr:colOff>1942016</xdr:colOff>
      <xdr:row>50</xdr:row>
      <xdr:rowOff>134471</xdr:rowOff>
    </xdr:to>
    <xdr:cxnSp macro="">
      <xdr:nvCxnSpPr>
        <xdr:cNvPr id="2" name="Connector: Elbow 1">
          <a:extLst>
            <a:ext uri="{FF2B5EF4-FFF2-40B4-BE49-F238E27FC236}">
              <a16:creationId xmlns:a16="http://schemas.microsoft.com/office/drawing/2014/main" id="{66B56EEB-7AAD-4647-A559-A3B5063DA972}"/>
            </a:ext>
          </a:extLst>
        </xdr:cNvPr>
        <xdr:cNvCxnSpPr/>
      </xdr:nvCxnSpPr>
      <xdr:spPr>
        <a:xfrm rot="16200000" flipH="1">
          <a:off x="1182010" y="2954551"/>
          <a:ext cx="1429847" cy="747061"/>
        </a:xfrm>
        <a:prstGeom prst="bentConnector3">
          <a:avLst>
            <a:gd name="adj1" fmla="val 100259"/>
          </a:avLst>
        </a:prstGeom>
        <a:ln w="57150"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113685</xdr:colOff>
      <xdr:row>43</xdr:row>
      <xdr:rowOff>72757</xdr:rowOff>
    </xdr:from>
    <xdr:to>
      <xdr:col>5</xdr:col>
      <xdr:colOff>494685</xdr:colOff>
      <xdr:row>50</xdr:row>
      <xdr:rowOff>169875</xdr:rowOff>
    </xdr:to>
    <xdr:cxnSp macro="">
      <xdr:nvCxnSpPr>
        <xdr:cNvPr id="3" name="Connector: Elbow 2">
          <a:extLst>
            <a:ext uri="{FF2B5EF4-FFF2-40B4-BE49-F238E27FC236}">
              <a16:creationId xmlns:a16="http://schemas.microsoft.com/office/drawing/2014/main" id="{C33BD93D-0806-4374-8A41-28829DFDC639}"/>
            </a:ext>
          </a:extLst>
        </xdr:cNvPr>
        <xdr:cNvCxnSpPr/>
      </xdr:nvCxnSpPr>
      <xdr:spPr>
        <a:xfrm rot="5400000" flipH="1" flipV="1">
          <a:off x="4487135" y="3187928"/>
          <a:ext cx="1399962" cy="381000"/>
        </a:xfrm>
        <a:prstGeom prst="bentConnector3">
          <a:avLst>
            <a:gd name="adj1" fmla="val 264"/>
          </a:avLst>
        </a:prstGeom>
        <a:ln w="57150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854076</xdr:colOff>
      <xdr:row>39</xdr:row>
      <xdr:rowOff>62635</xdr:rowOff>
    </xdr:from>
    <xdr:to>
      <xdr:col>12</xdr:col>
      <xdr:colOff>1601137</xdr:colOff>
      <xdr:row>47</xdr:row>
      <xdr:rowOff>11838</xdr:rowOff>
    </xdr:to>
    <xdr:cxnSp macro="">
      <xdr:nvCxnSpPr>
        <xdr:cNvPr id="4" name="Connector: Elbow 3">
          <a:extLst>
            <a:ext uri="{FF2B5EF4-FFF2-40B4-BE49-F238E27FC236}">
              <a16:creationId xmlns:a16="http://schemas.microsoft.com/office/drawing/2014/main" id="{2589F4BB-B057-400F-867C-B8F12C46AA9D}"/>
            </a:ext>
          </a:extLst>
        </xdr:cNvPr>
        <xdr:cNvCxnSpPr/>
      </xdr:nvCxnSpPr>
      <xdr:spPr>
        <a:xfrm rot="16200000" flipH="1">
          <a:off x="9359838" y="3232406"/>
          <a:ext cx="1447803" cy="747061"/>
        </a:xfrm>
        <a:prstGeom prst="bentConnector3">
          <a:avLst>
            <a:gd name="adj1" fmla="val 100259"/>
          </a:avLst>
        </a:prstGeom>
        <a:ln w="57150"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107156</xdr:colOff>
      <xdr:row>39</xdr:row>
      <xdr:rowOff>95252</xdr:rowOff>
    </xdr:from>
    <xdr:to>
      <xdr:col>16</xdr:col>
      <xdr:colOff>450849</xdr:colOff>
      <xdr:row>44</xdr:row>
      <xdr:rowOff>119064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18C6FE90-527B-439A-8529-416497C89D6A}"/>
            </a:ext>
          </a:extLst>
        </xdr:cNvPr>
        <xdr:cNvCxnSpPr/>
      </xdr:nvCxnSpPr>
      <xdr:spPr>
        <a:xfrm rot="5400000" flipH="1" flipV="1">
          <a:off x="12681347" y="8138718"/>
          <a:ext cx="952499" cy="343693"/>
        </a:xfrm>
        <a:prstGeom prst="bentConnector3">
          <a:avLst>
            <a:gd name="adj1" fmla="val 2083"/>
          </a:avLst>
        </a:prstGeom>
        <a:ln w="57150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490055</xdr:colOff>
      <xdr:row>50</xdr:row>
      <xdr:rowOff>89728</xdr:rowOff>
    </xdr:from>
    <xdr:to>
      <xdr:col>18</xdr:col>
      <xdr:colOff>484909</xdr:colOff>
      <xdr:row>50</xdr:row>
      <xdr:rowOff>92364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B8B8291B-9112-40DE-AA47-723D262EA466}"/>
            </a:ext>
          </a:extLst>
        </xdr:cNvPr>
        <xdr:cNvCxnSpPr/>
      </xdr:nvCxnSpPr>
      <xdr:spPr>
        <a:xfrm>
          <a:off x="13355707" y="9476685"/>
          <a:ext cx="1106104" cy="2636"/>
        </a:xfrm>
        <a:prstGeom prst="straightConnector1">
          <a:avLst/>
        </a:prstGeom>
        <a:ln w="571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83208</xdr:colOff>
      <xdr:row>50</xdr:row>
      <xdr:rowOff>39582</xdr:rowOff>
    </xdr:from>
    <xdr:to>
      <xdr:col>21</xdr:col>
      <xdr:colOff>1281542</xdr:colOff>
      <xdr:row>50</xdr:row>
      <xdr:rowOff>46182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A145E859-7E2D-42C0-AD71-1A513EC9ED6E}"/>
            </a:ext>
          </a:extLst>
        </xdr:cNvPr>
        <xdr:cNvCxnSpPr/>
      </xdr:nvCxnSpPr>
      <xdr:spPr>
        <a:xfrm>
          <a:off x="15915875" y="4357582"/>
          <a:ext cx="1198334" cy="6600"/>
        </a:xfrm>
        <a:prstGeom prst="straightConnector1">
          <a:avLst/>
        </a:prstGeom>
        <a:ln w="571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138044</xdr:colOff>
      <xdr:row>48</xdr:row>
      <xdr:rowOff>62120</xdr:rowOff>
    </xdr:from>
    <xdr:to>
      <xdr:col>16</xdr:col>
      <xdr:colOff>483152</xdr:colOff>
      <xdr:row>51</xdr:row>
      <xdr:rowOff>158750</xdr:rowOff>
    </xdr:to>
    <xdr:sp macro="" textlink="">
      <xdr:nvSpPr>
        <xdr:cNvPr id="17" name="Right Brace 16">
          <a:extLst>
            <a:ext uri="{FF2B5EF4-FFF2-40B4-BE49-F238E27FC236}">
              <a16:creationId xmlns:a16="http://schemas.microsoft.com/office/drawing/2014/main" id="{9F732CDD-8BB5-EA6E-97B3-3F1C1CA466F7}"/>
            </a:ext>
          </a:extLst>
        </xdr:cNvPr>
        <xdr:cNvSpPr/>
      </xdr:nvSpPr>
      <xdr:spPr>
        <a:xfrm>
          <a:off x="13003696" y="9076359"/>
          <a:ext cx="345108" cy="655706"/>
        </a:xfrm>
        <a:prstGeom prst="rightBrace">
          <a:avLst>
            <a:gd name="adj1" fmla="val 8333"/>
            <a:gd name="adj2" fmla="val 60526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A4BEE-6E77-4BCD-A639-D7A4F92D4842}">
  <dimension ref="A1"/>
  <sheetViews>
    <sheetView workbookViewId="0">
      <selection activeCell="I18" sqref="I18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B1742-80BA-4BEE-A6A8-C107F8680424}">
  <dimension ref="L15:S17"/>
  <sheetViews>
    <sheetView topLeftCell="F1" zoomScale="78" zoomScaleNormal="70" workbookViewId="0">
      <selection activeCell="M27" sqref="M27"/>
    </sheetView>
  </sheetViews>
  <sheetFormatPr defaultRowHeight="14.5" x14ac:dyDescent="0.35"/>
  <sheetData>
    <row r="15" spans="14:15" x14ac:dyDescent="0.35">
      <c r="N15" s="1"/>
      <c r="O15" s="1"/>
    </row>
    <row r="17" spans="12:19" x14ac:dyDescent="0.35">
      <c r="L17" t="s">
        <v>91</v>
      </c>
      <c r="S17" t="s">
        <v>92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CBDC-142C-490D-A006-99B55468FA31}">
  <dimension ref="B3:AL3"/>
  <sheetViews>
    <sheetView topLeftCell="C1" zoomScale="80" zoomScaleNormal="145" workbookViewId="0">
      <selection activeCell="P17" sqref="P17"/>
    </sheetView>
  </sheetViews>
  <sheetFormatPr defaultRowHeight="14.5" x14ac:dyDescent="0.35"/>
  <cols>
    <col min="19" max="19" width="1.90625" style="34" customWidth="1"/>
    <col min="35" max="35" width="2.1796875" style="34" customWidth="1"/>
  </cols>
  <sheetData>
    <row r="3" spans="2:38" x14ac:dyDescent="0.35">
      <c r="B3" s="1" t="s">
        <v>49</v>
      </c>
      <c r="C3" s="1" t="s">
        <v>105</v>
      </c>
      <c r="U3" s="1" t="s">
        <v>50</v>
      </c>
      <c r="V3" s="1" t="s">
        <v>103</v>
      </c>
      <c r="W3" s="1"/>
      <c r="AK3" s="1" t="s">
        <v>54</v>
      </c>
      <c r="AL3" s="1" t="s">
        <v>104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EAE-C78C-40AD-AC42-394113FB6B05}">
  <dimension ref="B15:W66"/>
  <sheetViews>
    <sheetView zoomScaleNormal="100" workbookViewId="0">
      <selection activeCell="W16" sqref="W16"/>
    </sheetView>
  </sheetViews>
  <sheetFormatPr defaultRowHeight="14.5" x14ac:dyDescent="0.35"/>
  <cols>
    <col min="2" max="2" width="11.1796875" customWidth="1"/>
  </cols>
  <sheetData>
    <row r="15" spans="14:15" x14ac:dyDescent="0.35">
      <c r="N15" s="1"/>
      <c r="O15" s="1"/>
    </row>
    <row r="17" spans="4:19" x14ac:dyDescent="0.35">
      <c r="L17" t="s">
        <v>91</v>
      </c>
      <c r="S17" t="s">
        <v>92</v>
      </c>
    </row>
    <row r="28" spans="4:19" x14ac:dyDescent="0.35">
      <c r="D28" t="s">
        <v>93</v>
      </c>
    </row>
    <row r="34" spans="2:9" x14ac:dyDescent="0.35">
      <c r="E34" t="s">
        <v>95</v>
      </c>
    </row>
    <row r="35" spans="2:9" x14ac:dyDescent="0.35">
      <c r="D35" t="s">
        <v>50</v>
      </c>
      <c r="E35" t="s">
        <v>94</v>
      </c>
    </row>
    <row r="41" spans="2:9" x14ac:dyDescent="0.35">
      <c r="B41" t="s">
        <v>100</v>
      </c>
      <c r="D41" t="s">
        <v>98</v>
      </c>
      <c r="I41" t="s">
        <v>99</v>
      </c>
    </row>
    <row r="42" spans="2:9" x14ac:dyDescent="0.35">
      <c r="D42">
        <v>90</v>
      </c>
      <c r="E42">
        <v>92</v>
      </c>
      <c r="F42">
        <v>91</v>
      </c>
      <c r="G42">
        <v>89</v>
      </c>
      <c r="H42">
        <v>93</v>
      </c>
      <c r="I42" s="68">
        <f>AVERAGE(D42:H42)</f>
        <v>91</v>
      </c>
    </row>
    <row r="43" spans="2:9" x14ac:dyDescent="0.35">
      <c r="D43">
        <v>50</v>
      </c>
      <c r="E43">
        <v>60</v>
      </c>
      <c r="F43">
        <v>65</v>
      </c>
      <c r="G43">
        <v>74</v>
      </c>
      <c r="H43">
        <v>90</v>
      </c>
      <c r="I43" s="68">
        <f>AVERAGE(D43:H43)</f>
        <v>67.8</v>
      </c>
    </row>
    <row r="59" spans="21:22" x14ac:dyDescent="0.35">
      <c r="U59" s="1" t="s">
        <v>96</v>
      </c>
      <c r="V59" s="1" t="s">
        <v>97</v>
      </c>
    </row>
    <row r="66" spans="21:23" x14ac:dyDescent="0.35">
      <c r="U66" t="s">
        <v>101</v>
      </c>
      <c r="W66" t="s">
        <v>102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8233-5EF0-45F9-8BF7-5534FE391935}">
  <dimension ref="A3:T131"/>
  <sheetViews>
    <sheetView zoomScale="115" zoomScaleNormal="115" workbookViewId="0">
      <selection activeCell="H75" sqref="H75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0.36328125" bestFit="1" customWidth="1"/>
    <col min="5" max="5" width="4.36328125" customWidth="1"/>
    <col min="6" max="6" width="20.7265625" customWidth="1"/>
    <col min="7" max="7" width="17.1796875" customWidth="1"/>
    <col min="8" max="8" width="22.36328125" customWidth="1"/>
    <col min="9" max="9" width="4.6328125" customWidth="1"/>
    <col min="10" max="10" width="9.54296875" bestFit="1" customWidth="1"/>
    <col min="11" max="11" width="15.26953125" bestFit="1" customWidth="1"/>
    <col min="12" max="12" width="10.363281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5.26953125" bestFit="1" customWidth="1"/>
    <col min="20" max="20" width="10.36328125" bestFit="1" customWidth="1"/>
  </cols>
  <sheetData>
    <row r="3" spans="1:20" x14ac:dyDescent="0.35">
      <c r="B3" s="1" t="s">
        <v>49</v>
      </c>
      <c r="C3" s="1" t="s">
        <v>63</v>
      </c>
    </row>
    <row r="5" spans="1:20" x14ac:dyDescent="0.3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</row>
    <row r="7" spans="1:20" x14ac:dyDescent="0.35">
      <c r="B7" s="1" t="s">
        <v>50</v>
      </c>
      <c r="C7" s="1" t="s">
        <v>77</v>
      </c>
    </row>
    <row r="8" spans="1:20" x14ac:dyDescent="0.35">
      <c r="B8" s="1"/>
      <c r="C8" s="1"/>
    </row>
    <row r="9" spans="1:20" x14ac:dyDescent="0.35">
      <c r="B9" s="10" t="s">
        <v>0</v>
      </c>
      <c r="C9" s="10" t="s">
        <v>1</v>
      </c>
      <c r="D9" s="10" t="s">
        <v>2</v>
      </c>
      <c r="F9" s="10" t="s">
        <v>0</v>
      </c>
      <c r="G9" s="10" t="s">
        <v>1</v>
      </c>
      <c r="H9" s="10" t="s">
        <v>3</v>
      </c>
      <c r="J9" s="10" t="s">
        <v>0</v>
      </c>
      <c r="K9" s="10" t="s">
        <v>1</v>
      </c>
      <c r="L9" s="10" t="s">
        <v>4</v>
      </c>
      <c r="N9" s="10" t="s">
        <v>0</v>
      </c>
      <c r="O9" s="10" t="s">
        <v>1</v>
      </c>
      <c r="P9" s="10" t="s">
        <v>5</v>
      </c>
      <c r="R9" s="10" t="s">
        <v>0</v>
      </c>
      <c r="S9" s="10" t="s">
        <v>1</v>
      </c>
      <c r="T9" s="10" t="s">
        <v>6</v>
      </c>
    </row>
    <row r="10" spans="1:20" x14ac:dyDescent="0.35">
      <c r="B10" t="s">
        <v>29</v>
      </c>
      <c r="C10" t="s">
        <v>25</v>
      </c>
      <c r="D10" s="4">
        <v>83.9</v>
      </c>
      <c r="F10" t="s">
        <v>26</v>
      </c>
      <c r="G10" t="s">
        <v>25</v>
      </c>
      <c r="H10" s="4">
        <v>99</v>
      </c>
      <c r="I10" s="1"/>
      <c r="J10" t="s">
        <v>27</v>
      </c>
      <c r="K10" t="s">
        <v>25</v>
      </c>
      <c r="L10" s="4">
        <v>86</v>
      </c>
      <c r="N10" t="s">
        <v>28</v>
      </c>
      <c r="O10" t="s">
        <v>25</v>
      </c>
      <c r="P10" s="4">
        <v>96.9</v>
      </c>
      <c r="R10" t="s">
        <v>31</v>
      </c>
      <c r="S10" t="s">
        <v>25</v>
      </c>
      <c r="T10" s="4">
        <v>91.7</v>
      </c>
    </row>
    <row r="11" spans="1:20" x14ac:dyDescent="0.35">
      <c r="B11" t="s">
        <v>30</v>
      </c>
      <c r="C11" t="s">
        <v>25</v>
      </c>
      <c r="D11" s="4">
        <v>70</v>
      </c>
      <c r="F11" t="s">
        <v>34</v>
      </c>
      <c r="G11" t="s">
        <v>25</v>
      </c>
      <c r="H11" s="4">
        <v>95.8</v>
      </c>
      <c r="I11" s="1"/>
      <c r="J11" t="s">
        <v>37</v>
      </c>
      <c r="K11" t="s">
        <v>25</v>
      </c>
      <c r="L11" s="4">
        <v>48.1</v>
      </c>
      <c r="N11" t="s">
        <v>38</v>
      </c>
      <c r="O11" t="s">
        <v>25</v>
      </c>
      <c r="P11" s="4">
        <v>85.5</v>
      </c>
      <c r="R11" t="s">
        <v>18</v>
      </c>
      <c r="S11" t="s">
        <v>19</v>
      </c>
      <c r="T11" s="4">
        <v>90.3</v>
      </c>
    </row>
    <row r="12" spans="1:20" x14ac:dyDescent="0.35">
      <c r="B12" t="s">
        <v>20</v>
      </c>
      <c r="C12" t="s">
        <v>19</v>
      </c>
      <c r="D12" s="4">
        <v>76.7</v>
      </c>
      <c r="F12" t="s">
        <v>35</v>
      </c>
      <c r="G12" t="s">
        <v>25</v>
      </c>
      <c r="H12" s="4">
        <v>93.3</v>
      </c>
      <c r="I12" s="1"/>
      <c r="J12" t="s">
        <v>23</v>
      </c>
      <c r="K12" t="s">
        <v>19</v>
      </c>
      <c r="L12" s="4">
        <v>73.3</v>
      </c>
      <c r="N12" t="s">
        <v>24</v>
      </c>
      <c r="O12" t="s">
        <v>25</v>
      </c>
      <c r="P12" s="4">
        <v>84.3</v>
      </c>
      <c r="R12" t="s">
        <v>21</v>
      </c>
      <c r="S12" t="s">
        <v>19</v>
      </c>
      <c r="T12" s="4">
        <v>84.7</v>
      </c>
    </row>
    <row r="13" spans="1:20" x14ac:dyDescent="0.35">
      <c r="B13" t="s">
        <v>11</v>
      </c>
      <c r="C13" t="s">
        <v>8</v>
      </c>
      <c r="D13" s="4">
        <v>98.5</v>
      </c>
      <c r="F13" t="s">
        <v>36</v>
      </c>
      <c r="G13" t="s">
        <v>25</v>
      </c>
      <c r="H13" s="4">
        <v>77.599999999999994</v>
      </c>
      <c r="J13" t="s">
        <v>10</v>
      </c>
      <c r="K13" t="s">
        <v>8</v>
      </c>
      <c r="L13" s="4">
        <v>95.3</v>
      </c>
      <c r="N13" t="s">
        <v>32</v>
      </c>
      <c r="O13" t="s">
        <v>25</v>
      </c>
      <c r="P13" s="4">
        <v>70.5</v>
      </c>
      <c r="R13" t="s">
        <v>22</v>
      </c>
      <c r="S13" t="s">
        <v>19</v>
      </c>
      <c r="T13" s="4">
        <v>66.7</v>
      </c>
    </row>
    <row r="14" spans="1:20" x14ac:dyDescent="0.35">
      <c r="B14" t="s">
        <v>16</v>
      </c>
      <c r="C14" t="s">
        <v>8</v>
      </c>
      <c r="D14" s="4">
        <v>96.8</v>
      </c>
      <c r="F14" t="s">
        <v>13</v>
      </c>
      <c r="G14" t="s">
        <v>8</v>
      </c>
      <c r="H14" s="4">
        <v>84.7</v>
      </c>
      <c r="J14" t="s">
        <v>9</v>
      </c>
      <c r="K14" t="s">
        <v>8</v>
      </c>
      <c r="L14" s="4">
        <v>91</v>
      </c>
      <c r="N14" t="s">
        <v>33</v>
      </c>
      <c r="O14" t="s">
        <v>25</v>
      </c>
      <c r="P14" s="4">
        <v>63.4</v>
      </c>
      <c r="R14" t="s">
        <v>7</v>
      </c>
      <c r="S14" t="s">
        <v>8</v>
      </c>
      <c r="T14" s="4">
        <v>84</v>
      </c>
    </row>
    <row r="15" spans="1:20" x14ac:dyDescent="0.35">
      <c r="J15" t="s">
        <v>15</v>
      </c>
      <c r="K15" t="s">
        <v>8</v>
      </c>
      <c r="L15" s="4">
        <v>87.1</v>
      </c>
      <c r="N15" t="s">
        <v>17</v>
      </c>
      <c r="O15" t="s">
        <v>8</v>
      </c>
      <c r="P15" s="4">
        <v>89.1</v>
      </c>
      <c r="R15" t="s">
        <v>12</v>
      </c>
      <c r="S15" t="s">
        <v>8</v>
      </c>
      <c r="T15" s="4">
        <v>65</v>
      </c>
    </row>
    <row r="16" spans="1:20" x14ac:dyDescent="0.35">
      <c r="N16" t="s">
        <v>14</v>
      </c>
      <c r="O16" t="s">
        <v>8</v>
      </c>
      <c r="P16" s="4">
        <v>76.400000000000006</v>
      </c>
    </row>
    <row r="17" spans="1:20" x14ac:dyDescent="0.3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 x14ac:dyDescent="0.35">
      <c r="B18" s="1" t="s">
        <v>54</v>
      </c>
      <c r="C18" s="1" t="s">
        <v>66</v>
      </c>
    </row>
    <row r="19" spans="1:20" x14ac:dyDescent="0.35">
      <c r="B19" s="1"/>
      <c r="C19" s="1"/>
    </row>
    <row r="20" spans="1:20" x14ac:dyDescent="0.35">
      <c r="B20" s="10" t="s">
        <v>0</v>
      </c>
      <c r="C20" s="10" t="s">
        <v>1</v>
      </c>
      <c r="D20" s="10" t="s">
        <v>2</v>
      </c>
      <c r="F20" s="10" t="s">
        <v>0</v>
      </c>
      <c r="G20" s="10" t="s">
        <v>1</v>
      </c>
      <c r="H20" s="10" t="s">
        <v>3</v>
      </c>
      <c r="J20" s="10" t="s">
        <v>0</v>
      </c>
      <c r="K20" s="10" t="s">
        <v>1</v>
      </c>
      <c r="L20" s="10" t="s">
        <v>4</v>
      </c>
      <c r="N20" s="10" t="s">
        <v>0</v>
      </c>
      <c r="O20" s="10" t="s">
        <v>1</v>
      </c>
      <c r="P20" s="10" t="s">
        <v>5</v>
      </c>
      <c r="R20" s="10" t="s">
        <v>0</v>
      </c>
      <c r="S20" s="10" t="s">
        <v>1</v>
      </c>
      <c r="T20" s="10" t="s">
        <v>6</v>
      </c>
    </row>
    <row r="21" spans="1:20" x14ac:dyDescent="0.35">
      <c r="B21" t="s">
        <v>29</v>
      </c>
      <c r="C21" t="s">
        <v>25</v>
      </c>
      <c r="D21">
        <v>83.9</v>
      </c>
      <c r="F21" t="s">
        <v>26</v>
      </c>
      <c r="G21" t="s">
        <v>25</v>
      </c>
      <c r="H21">
        <v>99</v>
      </c>
      <c r="I21" s="1"/>
      <c r="J21" t="s">
        <v>27</v>
      </c>
      <c r="K21" t="s">
        <v>25</v>
      </c>
      <c r="L21">
        <v>86</v>
      </c>
      <c r="N21" t="s">
        <v>28</v>
      </c>
      <c r="O21" t="s">
        <v>25</v>
      </c>
      <c r="P21">
        <v>96.9</v>
      </c>
      <c r="R21" t="s">
        <v>31</v>
      </c>
      <c r="S21" t="s">
        <v>25</v>
      </c>
      <c r="T21">
        <v>91.7</v>
      </c>
    </row>
    <row r="22" spans="1:20" x14ac:dyDescent="0.35">
      <c r="B22" t="s">
        <v>30</v>
      </c>
      <c r="C22" t="s">
        <v>25</v>
      </c>
      <c r="D22">
        <v>70</v>
      </c>
      <c r="F22" t="s">
        <v>34</v>
      </c>
      <c r="G22" t="s">
        <v>25</v>
      </c>
      <c r="H22">
        <v>95.8</v>
      </c>
      <c r="I22" s="1"/>
      <c r="J22" t="s">
        <v>37</v>
      </c>
      <c r="K22" t="s">
        <v>25</v>
      </c>
      <c r="L22">
        <v>48.1</v>
      </c>
      <c r="N22" s="29" t="s">
        <v>38</v>
      </c>
      <c r="O22" s="29" t="s">
        <v>25</v>
      </c>
      <c r="P22" s="29">
        <v>85.5</v>
      </c>
      <c r="R22" s="29" t="s">
        <v>18</v>
      </c>
      <c r="S22" s="29" t="s">
        <v>19</v>
      </c>
      <c r="T22" s="29">
        <v>90.3</v>
      </c>
    </row>
    <row r="23" spans="1:20" x14ac:dyDescent="0.35">
      <c r="B23" t="s">
        <v>20</v>
      </c>
      <c r="C23" t="s">
        <v>19</v>
      </c>
      <c r="D23">
        <v>76.7</v>
      </c>
      <c r="F23" t="s">
        <v>35</v>
      </c>
      <c r="G23" t="s">
        <v>25</v>
      </c>
      <c r="H23">
        <v>93.3</v>
      </c>
      <c r="I23" s="1"/>
      <c r="J23" t="s">
        <v>23</v>
      </c>
      <c r="K23" t="s">
        <v>19</v>
      </c>
      <c r="L23">
        <v>73.3</v>
      </c>
      <c r="N23" s="29" t="s">
        <v>24</v>
      </c>
      <c r="O23" s="29" t="s">
        <v>25</v>
      </c>
      <c r="P23" s="29">
        <v>84.3</v>
      </c>
      <c r="R23" s="29" t="s">
        <v>21</v>
      </c>
      <c r="S23" s="29" t="s">
        <v>19</v>
      </c>
      <c r="T23" s="29">
        <v>84.7</v>
      </c>
    </row>
    <row r="24" spans="1:20" x14ac:dyDescent="0.35">
      <c r="B24" t="s">
        <v>11</v>
      </c>
      <c r="C24" t="s">
        <v>8</v>
      </c>
      <c r="D24">
        <v>98.5</v>
      </c>
      <c r="F24" s="29" t="s">
        <v>36</v>
      </c>
      <c r="G24" s="29" t="s">
        <v>25</v>
      </c>
      <c r="H24" s="29">
        <v>77.599999999999994</v>
      </c>
      <c r="J24" t="s">
        <v>10</v>
      </c>
      <c r="K24" t="s">
        <v>8</v>
      </c>
      <c r="L24">
        <v>95.3</v>
      </c>
      <c r="N24" s="29" t="s">
        <v>32</v>
      </c>
      <c r="O24" s="29" t="s">
        <v>25</v>
      </c>
      <c r="P24" s="29">
        <v>70.5</v>
      </c>
      <c r="R24" s="29" t="s">
        <v>22</v>
      </c>
      <c r="S24" s="29" t="s">
        <v>19</v>
      </c>
      <c r="T24" s="29">
        <v>66.7</v>
      </c>
    </row>
    <row r="25" spans="1:20" x14ac:dyDescent="0.35">
      <c r="B25" t="s">
        <v>16</v>
      </c>
      <c r="C25" t="s">
        <v>8</v>
      </c>
      <c r="D25">
        <v>96.8</v>
      </c>
      <c r="F25" t="s">
        <v>13</v>
      </c>
      <c r="G25" t="s">
        <v>8</v>
      </c>
      <c r="H25">
        <v>84.7</v>
      </c>
      <c r="J25" t="s">
        <v>9</v>
      </c>
      <c r="K25" t="s">
        <v>8</v>
      </c>
      <c r="L25">
        <v>91</v>
      </c>
      <c r="N25" s="29" t="s">
        <v>33</v>
      </c>
      <c r="O25" s="29" t="s">
        <v>25</v>
      </c>
      <c r="P25" s="29">
        <v>63.4</v>
      </c>
      <c r="R25" s="29" t="s">
        <v>7</v>
      </c>
      <c r="S25" s="29" t="s">
        <v>8</v>
      </c>
      <c r="T25" s="29">
        <v>84</v>
      </c>
    </row>
    <row r="26" spans="1:20" x14ac:dyDescent="0.35">
      <c r="B26" s="23" t="s">
        <v>64</v>
      </c>
      <c r="C26" s="23" t="s">
        <v>25</v>
      </c>
      <c r="D26" s="23"/>
      <c r="F26" s="23" t="s">
        <v>64</v>
      </c>
      <c r="G26" s="23" t="s">
        <v>65</v>
      </c>
      <c r="H26" s="23"/>
      <c r="J26" t="s">
        <v>15</v>
      </c>
      <c r="K26" t="s">
        <v>8</v>
      </c>
      <c r="L26">
        <v>87.1</v>
      </c>
      <c r="N26" t="s">
        <v>17</v>
      </c>
      <c r="O26" t="s">
        <v>8</v>
      </c>
      <c r="P26">
        <v>89.1</v>
      </c>
      <c r="R26" s="29" t="s">
        <v>12</v>
      </c>
      <c r="S26" s="29" t="s">
        <v>8</v>
      </c>
      <c r="T26" s="29">
        <v>65</v>
      </c>
    </row>
    <row r="27" spans="1:20" x14ac:dyDescent="0.35">
      <c r="F27" s="23" t="s">
        <v>64</v>
      </c>
      <c r="G27" s="23" t="s">
        <v>19</v>
      </c>
      <c r="H27" s="23"/>
      <c r="J27" s="23" t="s">
        <v>64</v>
      </c>
      <c r="K27" s="23" t="s">
        <v>65</v>
      </c>
      <c r="L27" s="23"/>
      <c r="N27" t="s">
        <v>14</v>
      </c>
      <c r="O27" t="s">
        <v>8</v>
      </c>
      <c r="P27">
        <v>76.400000000000006</v>
      </c>
      <c r="R27" s="23" t="s">
        <v>64</v>
      </c>
      <c r="S27" s="23" t="s">
        <v>25</v>
      </c>
      <c r="T27" s="23"/>
    </row>
    <row r="28" spans="1:20" x14ac:dyDescent="0.35">
      <c r="F28" s="23" t="s">
        <v>64</v>
      </c>
      <c r="G28" s="23" t="s">
        <v>19</v>
      </c>
      <c r="H28" s="23"/>
      <c r="J28" s="23" t="s">
        <v>64</v>
      </c>
      <c r="K28" s="23" t="s">
        <v>25</v>
      </c>
      <c r="L28" s="23"/>
      <c r="N28" s="23" t="s">
        <v>64</v>
      </c>
      <c r="O28" s="23" t="s">
        <v>19</v>
      </c>
      <c r="P28" s="23"/>
      <c r="R28" s="23" t="s">
        <v>64</v>
      </c>
      <c r="S28" s="23" t="s">
        <v>25</v>
      </c>
      <c r="T28" s="23"/>
    </row>
    <row r="29" spans="1:20" x14ac:dyDescent="0.35">
      <c r="R29" s="23" t="s">
        <v>64</v>
      </c>
      <c r="S29" s="23" t="s">
        <v>25</v>
      </c>
      <c r="T29" s="23"/>
    </row>
    <row r="30" spans="1:20" x14ac:dyDescent="0.35">
      <c r="R30" s="23" t="s">
        <v>64</v>
      </c>
      <c r="S30" s="23" t="s">
        <v>25</v>
      </c>
      <c r="T30" s="23"/>
    </row>
    <row r="31" spans="1:20" x14ac:dyDescent="0.35">
      <c r="R31" s="23" t="s">
        <v>64</v>
      </c>
      <c r="S31" s="23" t="s">
        <v>25</v>
      </c>
      <c r="T31" s="23"/>
    </row>
    <row r="32" spans="1:20" x14ac:dyDescent="0.35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 x14ac:dyDescent="0.35">
      <c r="B33" s="1" t="s">
        <v>68</v>
      </c>
      <c r="C33" s="1" t="s">
        <v>67</v>
      </c>
    </row>
    <row r="34" spans="1:20" x14ac:dyDescent="0.35">
      <c r="B34" s="1"/>
      <c r="C34" s="1"/>
    </row>
    <row r="35" spans="1:20" x14ac:dyDescent="0.35">
      <c r="B35" s="10" t="s">
        <v>0</v>
      </c>
      <c r="C35" s="10" t="s">
        <v>1</v>
      </c>
      <c r="D35" s="10" t="s">
        <v>2</v>
      </c>
      <c r="F35" s="10" t="s">
        <v>0</v>
      </c>
      <c r="G35" s="10" t="s">
        <v>1</v>
      </c>
      <c r="H35" s="10" t="s">
        <v>3</v>
      </c>
      <c r="J35" s="10" t="s">
        <v>0</v>
      </c>
      <c r="K35" s="10" t="s">
        <v>1</v>
      </c>
      <c r="L35" s="10" t="s">
        <v>4</v>
      </c>
      <c r="N35" s="10" t="s">
        <v>0</v>
      </c>
      <c r="O35" s="10" t="s">
        <v>1</v>
      </c>
      <c r="P35" s="10" t="s">
        <v>5</v>
      </c>
      <c r="R35" s="10" t="s">
        <v>0</v>
      </c>
      <c r="S35" s="10" t="s">
        <v>1</v>
      </c>
      <c r="T35" s="10" t="s">
        <v>6</v>
      </c>
    </row>
    <row r="36" spans="1:20" x14ac:dyDescent="0.35">
      <c r="B36" t="s">
        <v>29</v>
      </c>
      <c r="C36" t="s">
        <v>25</v>
      </c>
      <c r="D36">
        <v>83.9</v>
      </c>
      <c r="F36" t="s">
        <v>26</v>
      </c>
      <c r="G36" t="s">
        <v>25</v>
      </c>
      <c r="H36">
        <v>99</v>
      </c>
      <c r="I36" s="1"/>
      <c r="J36" t="s">
        <v>27</v>
      </c>
      <c r="K36" t="s">
        <v>25</v>
      </c>
      <c r="L36">
        <v>86</v>
      </c>
      <c r="N36" t="s">
        <v>28</v>
      </c>
      <c r="O36" t="s">
        <v>25</v>
      </c>
      <c r="P36">
        <v>96.9</v>
      </c>
      <c r="R36" t="s">
        <v>31</v>
      </c>
      <c r="S36" t="s">
        <v>25</v>
      </c>
      <c r="T36">
        <v>91.7</v>
      </c>
    </row>
    <row r="37" spans="1:20" x14ac:dyDescent="0.35">
      <c r="B37" t="s">
        <v>30</v>
      </c>
      <c r="C37" t="s">
        <v>25</v>
      </c>
      <c r="D37">
        <v>70</v>
      </c>
      <c r="F37" t="s">
        <v>34</v>
      </c>
      <c r="G37" t="s">
        <v>25</v>
      </c>
      <c r="H37">
        <v>95.8</v>
      </c>
      <c r="I37" s="1"/>
      <c r="J37" t="s">
        <v>37</v>
      </c>
      <c r="K37" t="s">
        <v>25</v>
      </c>
      <c r="L37">
        <v>48.1</v>
      </c>
      <c r="N37" s="29"/>
      <c r="O37" s="29"/>
      <c r="P37" s="29"/>
      <c r="R37" s="29"/>
      <c r="S37" s="29"/>
      <c r="T37" s="29"/>
    </row>
    <row r="38" spans="1:20" x14ac:dyDescent="0.35">
      <c r="B38" t="s">
        <v>20</v>
      </c>
      <c r="C38" t="s">
        <v>19</v>
      </c>
      <c r="D38">
        <v>76.7</v>
      </c>
      <c r="F38" t="s">
        <v>35</v>
      </c>
      <c r="G38" t="s">
        <v>25</v>
      </c>
      <c r="H38">
        <v>93.3</v>
      </c>
      <c r="I38" s="1"/>
      <c r="J38" t="s">
        <v>23</v>
      </c>
      <c r="K38" t="s">
        <v>19</v>
      </c>
      <c r="L38">
        <v>73.3</v>
      </c>
      <c r="N38" s="29"/>
      <c r="O38" s="29"/>
      <c r="P38" s="29"/>
      <c r="R38" s="29"/>
      <c r="S38" s="29"/>
      <c r="T38" s="29"/>
    </row>
    <row r="39" spans="1:20" x14ac:dyDescent="0.35">
      <c r="B39" t="s">
        <v>11</v>
      </c>
      <c r="C39" t="s">
        <v>8</v>
      </c>
      <c r="D39">
        <v>98.5</v>
      </c>
      <c r="F39" s="29"/>
      <c r="G39" s="29"/>
      <c r="H39" s="29"/>
      <c r="J39" t="s">
        <v>10</v>
      </c>
      <c r="K39" t="s">
        <v>8</v>
      </c>
      <c r="L39">
        <v>95.3</v>
      </c>
      <c r="N39" s="29"/>
      <c r="O39" s="29"/>
      <c r="P39" s="29"/>
      <c r="R39" s="29"/>
      <c r="S39" s="29"/>
      <c r="T39" s="29"/>
    </row>
    <row r="40" spans="1:20" x14ac:dyDescent="0.35">
      <c r="B40" t="s">
        <v>16</v>
      </c>
      <c r="C40" t="s">
        <v>8</v>
      </c>
      <c r="D40">
        <v>96.8</v>
      </c>
      <c r="F40" t="s">
        <v>13</v>
      </c>
      <c r="G40" t="s">
        <v>8</v>
      </c>
      <c r="H40">
        <v>84.7</v>
      </c>
      <c r="J40" t="s">
        <v>9</v>
      </c>
      <c r="K40" t="s">
        <v>8</v>
      </c>
      <c r="L40">
        <v>91</v>
      </c>
      <c r="N40" s="29"/>
      <c r="O40" s="29"/>
      <c r="P40" s="29"/>
      <c r="R40" s="29"/>
      <c r="S40" s="29"/>
      <c r="T40" s="29"/>
    </row>
    <row r="41" spans="1:20" x14ac:dyDescent="0.35">
      <c r="B41" s="23" t="s">
        <v>64</v>
      </c>
      <c r="C41" s="23" t="s">
        <v>25</v>
      </c>
      <c r="D41" s="23"/>
      <c r="F41" s="23" t="s">
        <v>64</v>
      </c>
      <c r="G41" s="23" t="s">
        <v>65</v>
      </c>
      <c r="H41" s="23"/>
      <c r="J41" t="s">
        <v>15</v>
      </c>
      <c r="K41" t="s">
        <v>8</v>
      </c>
      <c r="L41">
        <v>87.1</v>
      </c>
      <c r="N41" t="s">
        <v>17</v>
      </c>
      <c r="O41" t="s">
        <v>8</v>
      </c>
      <c r="P41">
        <v>89.1</v>
      </c>
      <c r="R41" s="29"/>
      <c r="S41" s="29"/>
      <c r="T41" s="29"/>
    </row>
    <row r="42" spans="1:20" x14ac:dyDescent="0.35">
      <c r="F42" s="23" t="s">
        <v>64</v>
      </c>
      <c r="G42" s="23" t="s">
        <v>19</v>
      </c>
      <c r="H42" s="23"/>
      <c r="J42" s="23" t="s">
        <v>64</v>
      </c>
      <c r="K42" s="23" t="s">
        <v>65</v>
      </c>
      <c r="L42" s="23"/>
      <c r="N42" t="s">
        <v>14</v>
      </c>
      <c r="O42" t="s">
        <v>8</v>
      </c>
      <c r="P42">
        <v>76.400000000000006</v>
      </c>
      <c r="R42" s="23" t="s">
        <v>64</v>
      </c>
      <c r="S42" s="23" t="s">
        <v>25</v>
      </c>
      <c r="T42" s="23"/>
    </row>
    <row r="43" spans="1:20" x14ac:dyDescent="0.35">
      <c r="F43" s="23" t="s">
        <v>64</v>
      </c>
      <c r="G43" s="23" t="s">
        <v>19</v>
      </c>
      <c r="H43" s="23"/>
      <c r="J43" s="23" t="s">
        <v>64</v>
      </c>
      <c r="K43" s="23" t="s">
        <v>25</v>
      </c>
      <c r="L43" s="23"/>
      <c r="N43" s="23" t="s">
        <v>64</v>
      </c>
      <c r="O43" s="23" t="s">
        <v>19</v>
      </c>
      <c r="P43" s="23"/>
      <c r="R43" s="23" t="s">
        <v>64</v>
      </c>
      <c r="S43" s="23" t="s">
        <v>25</v>
      </c>
      <c r="T43" s="23"/>
    </row>
    <row r="44" spans="1:20" x14ac:dyDescent="0.35">
      <c r="R44" s="23" t="s">
        <v>64</v>
      </c>
      <c r="S44" s="23" t="s">
        <v>25</v>
      </c>
      <c r="T44" s="23"/>
    </row>
    <row r="45" spans="1:20" x14ac:dyDescent="0.35">
      <c r="R45" s="23" t="s">
        <v>64</v>
      </c>
      <c r="S45" s="23" t="s">
        <v>25</v>
      </c>
      <c r="T45" s="23"/>
    </row>
    <row r="46" spans="1:20" x14ac:dyDescent="0.35">
      <c r="R46" s="23" t="s">
        <v>64</v>
      </c>
      <c r="S46" s="23" t="s">
        <v>25</v>
      </c>
      <c r="T46" s="23"/>
    </row>
    <row r="47" spans="1:20" x14ac:dyDescent="0.3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 x14ac:dyDescent="0.35">
      <c r="B48" s="1" t="s">
        <v>72</v>
      </c>
      <c r="C48" s="1" t="s">
        <v>69</v>
      </c>
    </row>
    <row r="49" spans="1:20" x14ac:dyDescent="0.35">
      <c r="B49" s="1"/>
      <c r="C49" s="1"/>
    </row>
    <row r="50" spans="1:20" x14ac:dyDescent="0.35">
      <c r="B50" s="10" t="s">
        <v>0</v>
      </c>
      <c r="C50" s="10" t="s">
        <v>1</v>
      </c>
      <c r="D50" s="10" t="s">
        <v>70</v>
      </c>
      <c r="E50" s="10" t="s">
        <v>71</v>
      </c>
    </row>
    <row r="51" spans="1:20" x14ac:dyDescent="0.35">
      <c r="B51" s="29" t="s">
        <v>36</v>
      </c>
      <c r="C51" s="29" t="s">
        <v>25</v>
      </c>
      <c r="D51" t="s">
        <v>3</v>
      </c>
      <c r="E51" s="29">
        <v>77.599999999999994</v>
      </c>
    </row>
    <row r="52" spans="1:20" x14ac:dyDescent="0.35">
      <c r="B52" s="29" t="s">
        <v>38</v>
      </c>
      <c r="C52" s="29" t="s">
        <v>25</v>
      </c>
      <c r="D52" t="s">
        <v>5</v>
      </c>
      <c r="E52" s="29">
        <v>85.5</v>
      </c>
    </row>
    <row r="53" spans="1:20" x14ac:dyDescent="0.35">
      <c r="B53" s="29" t="s">
        <v>24</v>
      </c>
      <c r="C53" s="29" t="s">
        <v>25</v>
      </c>
      <c r="D53" t="s">
        <v>5</v>
      </c>
      <c r="E53" s="29">
        <v>84.3</v>
      </c>
    </row>
    <row r="54" spans="1:20" x14ac:dyDescent="0.35">
      <c r="B54" s="29" t="s">
        <v>32</v>
      </c>
      <c r="C54" s="29" t="s">
        <v>25</v>
      </c>
      <c r="D54" t="s">
        <v>5</v>
      </c>
      <c r="E54" s="29">
        <v>70.5</v>
      </c>
    </row>
    <row r="55" spans="1:20" x14ac:dyDescent="0.35">
      <c r="B55" s="29" t="s">
        <v>33</v>
      </c>
      <c r="C55" s="29" t="s">
        <v>25</v>
      </c>
      <c r="D55" t="s">
        <v>5</v>
      </c>
      <c r="E55" s="29">
        <v>63.4</v>
      </c>
    </row>
    <row r="56" spans="1:20" x14ac:dyDescent="0.35">
      <c r="B56" s="29" t="s">
        <v>18</v>
      </c>
      <c r="C56" s="29" t="s">
        <v>19</v>
      </c>
      <c r="D56" t="s">
        <v>6</v>
      </c>
      <c r="E56" s="29">
        <v>90.3</v>
      </c>
    </row>
    <row r="57" spans="1:20" x14ac:dyDescent="0.35">
      <c r="B57" s="29" t="s">
        <v>21</v>
      </c>
      <c r="C57" s="29" t="s">
        <v>19</v>
      </c>
      <c r="D57" t="s">
        <v>6</v>
      </c>
      <c r="E57" s="29">
        <v>84.7</v>
      </c>
    </row>
    <row r="58" spans="1:20" x14ac:dyDescent="0.35">
      <c r="B58" s="29" t="s">
        <v>22</v>
      </c>
      <c r="C58" s="29" t="s">
        <v>19</v>
      </c>
      <c r="D58" t="s">
        <v>6</v>
      </c>
      <c r="E58" s="29">
        <v>66.7</v>
      </c>
    </row>
    <row r="59" spans="1:20" x14ac:dyDescent="0.35">
      <c r="B59" s="29" t="s">
        <v>7</v>
      </c>
      <c r="C59" s="29" t="s">
        <v>8</v>
      </c>
      <c r="D59" t="s">
        <v>6</v>
      </c>
      <c r="E59" s="29">
        <v>84</v>
      </c>
    </row>
    <row r="60" spans="1:20" x14ac:dyDescent="0.35">
      <c r="B60" s="29" t="s">
        <v>12</v>
      </c>
      <c r="C60" s="29" t="s">
        <v>8</v>
      </c>
      <c r="D60" t="s">
        <v>6</v>
      </c>
      <c r="E60" s="29">
        <v>65</v>
      </c>
    </row>
    <row r="61" spans="1:20" x14ac:dyDescent="0.3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</row>
    <row r="62" spans="1:20" x14ac:dyDescent="0.35">
      <c r="B62" s="1" t="s">
        <v>73</v>
      </c>
      <c r="C62" s="1" t="s">
        <v>74</v>
      </c>
      <c r="K62" s="71" t="s">
        <v>106</v>
      </c>
    </row>
    <row r="63" spans="1:20" x14ac:dyDescent="0.35">
      <c r="B63" s="1"/>
      <c r="C63" s="1"/>
    </row>
    <row r="64" spans="1:20" x14ac:dyDescent="0.35">
      <c r="B64" s="10" t="s">
        <v>0</v>
      </c>
      <c r="C64" s="10" t="s">
        <v>1</v>
      </c>
      <c r="D64" s="10" t="s">
        <v>70</v>
      </c>
      <c r="E64" s="10" t="s">
        <v>71</v>
      </c>
      <c r="F64" s="10" t="s">
        <v>75</v>
      </c>
      <c r="G64" s="10" t="s">
        <v>71</v>
      </c>
      <c r="H64" s="10" t="s">
        <v>76</v>
      </c>
      <c r="I64" s="10" t="s">
        <v>71</v>
      </c>
    </row>
    <row r="65" spans="2:9" x14ac:dyDescent="0.35">
      <c r="B65" s="29" t="s">
        <v>36</v>
      </c>
      <c r="C65" s="29" t="s">
        <v>25</v>
      </c>
      <c r="D65" t="s">
        <v>3</v>
      </c>
      <c r="E65" s="24">
        <v>77.599999999999994</v>
      </c>
      <c r="F65" t="s">
        <v>6</v>
      </c>
      <c r="G65" s="35">
        <v>53.5</v>
      </c>
    </row>
    <row r="66" spans="2:9" x14ac:dyDescent="0.35">
      <c r="B66" s="29" t="s">
        <v>38</v>
      </c>
      <c r="C66" s="29" t="s">
        <v>25</v>
      </c>
      <c r="D66" t="s">
        <v>5</v>
      </c>
      <c r="E66" s="24">
        <v>95.9</v>
      </c>
      <c r="F66" t="s">
        <v>6</v>
      </c>
      <c r="G66" s="35">
        <v>85.5</v>
      </c>
    </row>
    <row r="67" spans="2:9" x14ac:dyDescent="0.35">
      <c r="B67" s="29" t="s">
        <v>24</v>
      </c>
      <c r="C67" s="29" t="s">
        <v>25</v>
      </c>
      <c r="D67" t="s">
        <v>5</v>
      </c>
      <c r="E67" s="24">
        <v>84.3</v>
      </c>
      <c r="F67" t="s">
        <v>4</v>
      </c>
      <c r="G67" s="35">
        <v>74.900000000000006</v>
      </c>
    </row>
    <row r="68" spans="2:9" x14ac:dyDescent="0.35">
      <c r="B68" s="29" t="s">
        <v>32</v>
      </c>
      <c r="C68" s="29" t="s">
        <v>25</v>
      </c>
      <c r="D68" t="s">
        <v>5</v>
      </c>
      <c r="E68" s="24">
        <v>70.5</v>
      </c>
      <c r="F68" t="s">
        <v>5</v>
      </c>
      <c r="G68" s="35">
        <v>63.8</v>
      </c>
    </row>
    <row r="69" spans="2:9" x14ac:dyDescent="0.35">
      <c r="B69" s="29" t="s">
        <v>33</v>
      </c>
      <c r="C69" s="29" t="s">
        <v>25</v>
      </c>
      <c r="D69" t="s">
        <v>5</v>
      </c>
      <c r="E69" s="24">
        <v>63.4</v>
      </c>
      <c r="F69" t="s">
        <v>2</v>
      </c>
      <c r="G69" s="35">
        <v>57.9</v>
      </c>
    </row>
    <row r="70" spans="2:9" x14ac:dyDescent="0.35">
      <c r="B70" s="29" t="s">
        <v>18</v>
      </c>
      <c r="C70" s="29" t="s">
        <v>19</v>
      </c>
      <c r="D70" t="s">
        <v>6</v>
      </c>
      <c r="E70" s="24">
        <v>90.3</v>
      </c>
      <c r="F70" t="s">
        <v>2</v>
      </c>
      <c r="G70">
        <v>50.9</v>
      </c>
      <c r="H70" t="s">
        <v>3</v>
      </c>
      <c r="I70" s="35">
        <v>46</v>
      </c>
    </row>
    <row r="71" spans="2:9" x14ac:dyDescent="0.35">
      <c r="B71" s="29" t="s">
        <v>21</v>
      </c>
      <c r="C71" s="29" t="s">
        <v>19</v>
      </c>
      <c r="D71" t="s">
        <v>6</v>
      </c>
      <c r="E71" s="24">
        <v>84.7</v>
      </c>
      <c r="F71" t="s">
        <v>6</v>
      </c>
      <c r="G71" s="35">
        <v>43.9</v>
      </c>
    </row>
    <row r="72" spans="2:9" x14ac:dyDescent="0.35">
      <c r="B72" s="29" t="s">
        <v>22</v>
      </c>
      <c r="C72" s="29" t="s">
        <v>19</v>
      </c>
      <c r="D72" t="s">
        <v>6</v>
      </c>
      <c r="E72" s="24">
        <v>66.7</v>
      </c>
      <c r="F72" t="s">
        <v>3</v>
      </c>
      <c r="G72" s="35">
        <v>60.3</v>
      </c>
    </row>
    <row r="73" spans="2:9" x14ac:dyDescent="0.35">
      <c r="B73" s="29" t="s">
        <v>7</v>
      </c>
      <c r="C73" s="29" t="s">
        <v>8</v>
      </c>
      <c r="D73" t="s">
        <v>6</v>
      </c>
      <c r="E73" s="24">
        <v>84</v>
      </c>
      <c r="F73" t="s">
        <v>3</v>
      </c>
      <c r="G73" s="35">
        <v>83.4</v>
      </c>
    </row>
    <row r="74" spans="2:9" x14ac:dyDescent="0.35">
      <c r="B74" s="29" t="s">
        <v>12</v>
      </c>
      <c r="C74" s="29" t="s">
        <v>8</v>
      </c>
      <c r="D74" t="s">
        <v>6</v>
      </c>
      <c r="E74" s="24">
        <v>65</v>
      </c>
      <c r="F74" t="s">
        <v>4</v>
      </c>
      <c r="G74" s="35">
        <v>54.9</v>
      </c>
    </row>
    <row r="91" spans="10:10" x14ac:dyDescent="0.35">
      <c r="J91" s="69" t="s">
        <v>88</v>
      </c>
    </row>
    <row r="108" spans="6:10" x14ac:dyDescent="0.35">
      <c r="G108" t="s">
        <v>39</v>
      </c>
      <c r="H108" t="s">
        <v>41</v>
      </c>
      <c r="I108" t="s">
        <v>40</v>
      </c>
      <c r="J108" s="12" t="s">
        <v>48</v>
      </c>
    </row>
    <row r="109" spans="6:10" x14ac:dyDescent="0.35">
      <c r="F109" t="s">
        <v>42</v>
      </c>
      <c r="G109">
        <v>2</v>
      </c>
      <c r="H109">
        <v>1</v>
      </c>
      <c r="I109" s="23">
        <v>3</v>
      </c>
      <c r="J109" s="12">
        <v>6</v>
      </c>
    </row>
    <row r="110" spans="6:10" x14ac:dyDescent="0.35">
      <c r="F110" t="s">
        <v>43</v>
      </c>
      <c r="G110">
        <v>2</v>
      </c>
      <c r="H110" s="23">
        <v>2</v>
      </c>
      <c r="I110" s="23">
        <v>2</v>
      </c>
      <c r="J110" s="12">
        <v>6</v>
      </c>
    </row>
    <row r="111" spans="6:10" x14ac:dyDescent="0.35">
      <c r="F111" t="s">
        <v>44</v>
      </c>
      <c r="G111" s="23">
        <v>4</v>
      </c>
      <c r="H111">
        <v>1</v>
      </c>
      <c r="I111" s="23">
        <v>3</v>
      </c>
      <c r="J111" s="12">
        <v>8</v>
      </c>
    </row>
    <row r="112" spans="6:10" x14ac:dyDescent="0.35">
      <c r="F112" t="s">
        <v>45</v>
      </c>
      <c r="G112">
        <v>2</v>
      </c>
      <c r="H112">
        <v>1</v>
      </c>
      <c r="I112">
        <v>1</v>
      </c>
      <c r="J112" s="12">
        <v>4</v>
      </c>
    </row>
    <row r="113" spans="5:13" x14ac:dyDescent="0.35">
      <c r="F113" t="s">
        <v>46</v>
      </c>
      <c r="G113">
        <v>0</v>
      </c>
      <c r="H113">
        <v>0</v>
      </c>
      <c r="I113">
        <v>5</v>
      </c>
      <c r="J113" s="12">
        <v>5</v>
      </c>
    </row>
    <row r="114" spans="5:13" ht="15" thickBot="1" x14ac:dyDescent="0.4">
      <c r="F114" s="11" t="s">
        <v>47</v>
      </c>
      <c r="G114" s="11">
        <v>10</v>
      </c>
      <c r="H114" s="11">
        <v>5</v>
      </c>
      <c r="I114" s="11">
        <v>14</v>
      </c>
    </row>
    <row r="115" spans="5:13" ht="15" thickTop="1" x14ac:dyDescent="0.35"/>
    <row r="125" spans="5:13" x14ac:dyDescent="0.35">
      <c r="E125" t="s">
        <v>49</v>
      </c>
      <c r="F125" s="72" t="s">
        <v>53</v>
      </c>
      <c r="G125" s="72"/>
      <c r="H125" s="72"/>
      <c r="I125" s="72"/>
      <c r="J125" s="72"/>
      <c r="K125" s="72"/>
    </row>
    <row r="126" spans="5:13" x14ac:dyDescent="0.35">
      <c r="E126" t="s">
        <v>50</v>
      </c>
      <c r="F126" t="s">
        <v>51</v>
      </c>
    </row>
    <row r="127" spans="5:13" x14ac:dyDescent="0.35">
      <c r="F127" t="s">
        <v>52</v>
      </c>
      <c r="M127">
        <v>2</v>
      </c>
    </row>
    <row r="128" spans="5:13" x14ac:dyDescent="0.35">
      <c r="F128" s="18" t="s">
        <v>55</v>
      </c>
    </row>
    <row r="129" spans="5:11" x14ac:dyDescent="0.35">
      <c r="F129" t="s">
        <v>59</v>
      </c>
      <c r="H129" s="1"/>
      <c r="I129" s="1"/>
      <c r="J129" s="1"/>
      <c r="K129" s="1"/>
    </row>
    <row r="130" spans="5:11" x14ac:dyDescent="0.35">
      <c r="E130" t="s">
        <v>54</v>
      </c>
      <c r="F130" t="s">
        <v>59</v>
      </c>
    </row>
    <row r="131" spans="5:11" x14ac:dyDescent="0.35">
      <c r="E131" s="13" t="s">
        <v>56</v>
      </c>
      <c r="F131" s="13" t="s">
        <v>61</v>
      </c>
      <c r="G131" s="13"/>
      <c r="H131" s="13"/>
      <c r="I131" s="13"/>
    </row>
  </sheetData>
  <mergeCells count="1">
    <mergeCell ref="F125:K125"/>
  </mergeCells>
  <phoneticPr fontId="4" type="noConversion"/>
  <hyperlinks>
    <hyperlink ref="F24:H24" location="'Stage 2'!A1" display="VP7" xr:uid="{2B4ED8AD-B24C-4E8E-9420-3731BA3BA9D5}"/>
    <hyperlink ref="N22:P25" location="'Stage 2'!A1" display="VP9" xr:uid="{7C87BFEB-33B4-493E-9594-498C850507D7}"/>
    <hyperlink ref="R22:T26" location="'Stage 2'!A1" display="HLA411" xr:uid="{6CF2B8B5-90E7-43A3-9280-8DD9E0270956}"/>
    <hyperlink ref="B51:E51" location="'Stage 2'!A1" display="VP7" xr:uid="{52BF13D5-7207-44AA-83C1-8D09EA8639B1}"/>
    <hyperlink ref="B65:E65" location="'Stage 2'!A1" display="VP7" xr:uid="{60195519-1514-4352-9F21-58600A74A60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7D3B-F48D-486C-96F8-0F8805A7B8A0}">
  <dimension ref="B3:AB58"/>
  <sheetViews>
    <sheetView tabSelected="1" zoomScale="84" zoomScaleNormal="160" workbookViewId="0">
      <selection activeCell="O42" sqref="O42"/>
    </sheetView>
  </sheetViews>
  <sheetFormatPr defaultRowHeight="14.5" x14ac:dyDescent="0.35"/>
  <cols>
    <col min="1" max="1" width="4.7265625" customWidth="1"/>
    <col min="2" max="2" width="29.1796875" bestFit="1" customWidth="1"/>
    <col min="3" max="3" width="11.26953125" bestFit="1" customWidth="1"/>
    <col min="4" max="4" width="14.81640625" bestFit="1" customWidth="1"/>
    <col min="5" max="5" width="9.81640625" bestFit="1" customWidth="1"/>
    <col min="6" max="6" width="14.36328125" customWidth="1"/>
    <col min="7" max="7" width="3.54296875" customWidth="1"/>
    <col min="8" max="8" width="13.36328125" customWidth="1"/>
    <col min="9" max="9" width="28.26953125" bestFit="1" customWidth="1"/>
    <col min="10" max="10" width="3.08984375" style="34" customWidth="1"/>
    <col min="11" max="11" width="4.453125" customWidth="1"/>
    <col min="12" max="12" width="4.7265625" customWidth="1"/>
    <col min="13" max="13" width="24.36328125" customWidth="1"/>
    <col min="15" max="15" width="14.81640625" bestFit="1" customWidth="1"/>
    <col min="16" max="16" width="9.81640625" bestFit="1" customWidth="1"/>
    <col min="17" max="17" width="12.453125" customWidth="1"/>
    <col min="18" max="18" width="3.453125" customWidth="1"/>
    <col min="22" max="22" width="19.08984375" bestFit="1" customWidth="1"/>
    <col min="23" max="23" width="19.7265625" bestFit="1" customWidth="1"/>
    <col min="24" max="25" width="9.6328125" bestFit="1" customWidth="1"/>
    <col min="26" max="26" width="20.36328125" bestFit="1" customWidth="1"/>
    <col min="27" max="27" width="11" customWidth="1"/>
    <col min="28" max="28" width="10.1796875" bestFit="1" customWidth="1"/>
    <col min="30" max="30" width="20.6328125" bestFit="1" customWidth="1"/>
  </cols>
  <sheetData>
    <row r="3" spans="2:23" s="34" customFormat="1" x14ac:dyDescent="0.35"/>
    <row r="4" spans="2:23" x14ac:dyDescent="0.35">
      <c r="B4" s="19" t="s">
        <v>2</v>
      </c>
      <c r="M4" s="19" t="s">
        <v>3</v>
      </c>
    </row>
    <row r="5" spans="2:23" x14ac:dyDescent="0.35">
      <c r="F5" t="s">
        <v>50</v>
      </c>
      <c r="Q5" s="1" t="s">
        <v>50</v>
      </c>
    </row>
    <row r="6" spans="2:23" x14ac:dyDescent="0.35">
      <c r="B6" s="25" t="s">
        <v>79</v>
      </c>
      <c r="F6" t="s">
        <v>77</v>
      </c>
      <c r="M6" t="s">
        <v>79</v>
      </c>
      <c r="Q6" t="s">
        <v>77</v>
      </c>
      <c r="W6" s="1" t="s">
        <v>87</v>
      </c>
    </row>
    <row r="7" spans="2:23" ht="15" thickBot="1" x14ac:dyDescent="0.4"/>
    <row r="8" spans="2:23" x14ac:dyDescent="0.35">
      <c r="B8" s="36" t="s">
        <v>2</v>
      </c>
      <c r="F8" s="36" t="s">
        <v>2</v>
      </c>
      <c r="M8" s="36" t="s">
        <v>3</v>
      </c>
      <c r="Q8" s="36" t="s">
        <v>3</v>
      </c>
    </row>
    <row r="9" spans="2:23" x14ac:dyDescent="0.35">
      <c r="B9" s="37" t="s">
        <v>25</v>
      </c>
      <c r="F9" s="37" t="s">
        <v>29</v>
      </c>
      <c r="M9" s="37" t="s">
        <v>25</v>
      </c>
      <c r="Q9" s="37" t="s">
        <v>26</v>
      </c>
    </row>
    <row r="10" spans="2:23" x14ac:dyDescent="0.35">
      <c r="B10" s="37" t="s">
        <v>25</v>
      </c>
      <c r="F10" s="37" t="s">
        <v>30</v>
      </c>
      <c r="M10" s="37" t="s">
        <v>25</v>
      </c>
      <c r="Q10" s="37" t="s">
        <v>34</v>
      </c>
    </row>
    <row r="11" spans="2:23" x14ac:dyDescent="0.35">
      <c r="B11" s="41" t="s">
        <v>25</v>
      </c>
      <c r="F11" s="51" t="s">
        <v>78</v>
      </c>
      <c r="H11" s="50" t="s">
        <v>82</v>
      </c>
      <c r="I11" t="s">
        <v>90</v>
      </c>
      <c r="M11" s="41" t="s">
        <v>25</v>
      </c>
      <c r="Q11" s="41" t="s">
        <v>35</v>
      </c>
    </row>
    <row r="12" spans="2:23" x14ac:dyDescent="0.35">
      <c r="B12" s="38" t="s">
        <v>19</v>
      </c>
      <c r="F12" s="38" t="s">
        <v>20</v>
      </c>
      <c r="M12" s="38" t="s">
        <v>19</v>
      </c>
      <c r="Q12" s="61" t="s">
        <v>78</v>
      </c>
      <c r="S12" s="50" t="s">
        <v>82</v>
      </c>
      <c r="U12" t="s">
        <v>90</v>
      </c>
    </row>
    <row r="13" spans="2:23" x14ac:dyDescent="0.35">
      <c r="B13" s="39" t="s">
        <v>8</v>
      </c>
      <c r="F13" s="39" t="s">
        <v>11</v>
      </c>
      <c r="M13" s="38" t="s">
        <v>19</v>
      </c>
      <c r="Q13" s="61" t="s">
        <v>78</v>
      </c>
      <c r="S13" s="50" t="s">
        <v>82</v>
      </c>
      <c r="U13" t="s">
        <v>90</v>
      </c>
    </row>
    <row r="14" spans="2:23" ht="15" thickBot="1" x14ac:dyDescent="0.4">
      <c r="B14" s="40" t="s">
        <v>8</v>
      </c>
      <c r="F14" s="40" t="s">
        <v>16</v>
      </c>
      <c r="M14" s="39" t="s">
        <v>8</v>
      </c>
      <c r="Q14" s="39" t="s">
        <v>13</v>
      </c>
    </row>
    <row r="15" spans="2:23" ht="15" thickBot="1" x14ac:dyDescent="0.4">
      <c r="M15" s="40" t="s">
        <v>8</v>
      </c>
      <c r="Q15" s="62" t="s">
        <v>78</v>
      </c>
      <c r="S15" s="50" t="s">
        <v>82</v>
      </c>
      <c r="U15" t="s">
        <v>90</v>
      </c>
    </row>
    <row r="17" spans="2:28" x14ac:dyDescent="0.35">
      <c r="C17" s="1" t="s">
        <v>49</v>
      </c>
      <c r="N17" s="1" t="s">
        <v>49</v>
      </c>
    </row>
    <row r="18" spans="2:28" x14ac:dyDescent="0.35">
      <c r="C18" t="s">
        <v>80</v>
      </c>
      <c r="N18" t="s">
        <v>80</v>
      </c>
    </row>
    <row r="19" spans="2:28" ht="15" thickBot="1" x14ac:dyDescent="0.4"/>
    <row r="20" spans="2:28" x14ac:dyDescent="0.35">
      <c r="C20" s="42" t="s">
        <v>0</v>
      </c>
      <c r="D20" s="43" t="s">
        <v>1</v>
      </c>
      <c r="E20" s="44" t="s">
        <v>2</v>
      </c>
      <c r="N20" s="42" t="s">
        <v>0</v>
      </c>
      <c r="O20" s="43" t="s">
        <v>1</v>
      </c>
      <c r="P20" s="44" t="s">
        <v>3</v>
      </c>
    </row>
    <row r="21" spans="2:28" x14ac:dyDescent="0.35">
      <c r="C21" s="45" t="s">
        <v>29</v>
      </c>
      <c r="D21" t="s">
        <v>25</v>
      </c>
      <c r="E21" s="46">
        <v>83.9</v>
      </c>
      <c r="N21" s="45" t="s">
        <v>26</v>
      </c>
      <c r="O21" t="s">
        <v>25</v>
      </c>
      <c r="P21" s="46">
        <v>99</v>
      </c>
    </row>
    <row r="22" spans="2:28" x14ac:dyDescent="0.35">
      <c r="C22" s="45" t="s">
        <v>30</v>
      </c>
      <c r="D22" t="s">
        <v>25</v>
      </c>
      <c r="E22" s="46">
        <v>70</v>
      </c>
      <c r="N22" s="45" t="s">
        <v>34</v>
      </c>
      <c r="O22" t="s">
        <v>25</v>
      </c>
      <c r="P22" s="46">
        <v>95.8</v>
      </c>
    </row>
    <row r="23" spans="2:28" x14ac:dyDescent="0.35">
      <c r="C23" s="45" t="s">
        <v>20</v>
      </c>
      <c r="D23" t="s">
        <v>19</v>
      </c>
      <c r="E23" s="46">
        <v>76.7</v>
      </c>
      <c r="N23" s="45" t="s">
        <v>35</v>
      </c>
      <c r="O23" t="s">
        <v>25</v>
      </c>
      <c r="P23" s="46">
        <v>93.3</v>
      </c>
      <c r="T23" s="1" t="s">
        <v>68</v>
      </c>
      <c r="W23" s="1" t="s">
        <v>72</v>
      </c>
    </row>
    <row r="24" spans="2:28" x14ac:dyDescent="0.35">
      <c r="C24" s="45" t="s">
        <v>11</v>
      </c>
      <c r="D24" t="s">
        <v>8</v>
      </c>
      <c r="E24" s="46">
        <v>98.5</v>
      </c>
      <c r="N24" s="56" t="s">
        <v>36</v>
      </c>
      <c r="O24" s="57" t="s">
        <v>25</v>
      </c>
      <c r="P24" s="58">
        <v>77.599999999999994</v>
      </c>
      <c r="T24" t="s">
        <v>83</v>
      </c>
      <c r="W24" t="s">
        <v>84</v>
      </c>
    </row>
    <row r="25" spans="2:28" x14ac:dyDescent="0.35">
      <c r="C25" s="45" t="s">
        <v>16</v>
      </c>
      <c r="D25" t="s">
        <v>8</v>
      </c>
      <c r="E25" s="46">
        <v>96.8</v>
      </c>
      <c r="N25" s="45" t="s">
        <v>13</v>
      </c>
      <c r="O25" t="s">
        <v>8</v>
      </c>
      <c r="P25" s="46">
        <v>84.7</v>
      </c>
    </row>
    <row r="26" spans="2:28" ht="15" thickBot="1" x14ac:dyDescent="0.4">
      <c r="C26" s="47" t="s">
        <v>64</v>
      </c>
      <c r="D26" s="48" t="s">
        <v>25</v>
      </c>
      <c r="E26" s="49"/>
      <c r="N26" s="59" t="s">
        <v>64</v>
      </c>
      <c r="O26" s="23" t="s">
        <v>65</v>
      </c>
      <c r="P26" s="60"/>
      <c r="W26" t="s">
        <v>81</v>
      </c>
      <c r="X26" t="s">
        <v>85</v>
      </c>
    </row>
    <row r="27" spans="2:28" x14ac:dyDescent="0.35">
      <c r="N27" s="59" t="s">
        <v>64</v>
      </c>
      <c r="O27" s="23" t="s">
        <v>19</v>
      </c>
      <c r="P27" s="60"/>
      <c r="W27" s="42" t="s">
        <v>0</v>
      </c>
      <c r="X27" s="43" t="s">
        <v>1</v>
      </c>
      <c r="Y27" s="43" t="s">
        <v>70</v>
      </c>
      <c r="Z27" s="43" t="s">
        <v>71</v>
      </c>
      <c r="AA27" s="43" t="s">
        <v>75</v>
      </c>
      <c r="AB27" s="44" t="s">
        <v>71</v>
      </c>
    </row>
    <row r="28" spans="2:28" ht="15" thickBot="1" x14ac:dyDescent="0.4">
      <c r="N28" s="47" t="s">
        <v>64</v>
      </c>
      <c r="O28" s="48" t="s">
        <v>19</v>
      </c>
      <c r="P28" s="49"/>
      <c r="W28" s="52" t="s">
        <v>36</v>
      </c>
      <c r="X28" s="53" t="s">
        <v>25</v>
      </c>
      <c r="Y28" s="9" t="s">
        <v>3</v>
      </c>
      <c r="Z28" s="53">
        <v>77.599999999999994</v>
      </c>
      <c r="AA28" s="54" t="s">
        <v>6</v>
      </c>
      <c r="AB28" s="55">
        <v>53.5</v>
      </c>
    </row>
    <row r="30" spans="2:28" s="34" customFormat="1" x14ac:dyDescent="0.35"/>
    <row r="31" spans="2:28" x14ac:dyDescent="0.35">
      <c r="B31" s="19" t="s">
        <v>4</v>
      </c>
      <c r="M31" s="19" t="s">
        <v>5</v>
      </c>
    </row>
    <row r="32" spans="2:28" x14ac:dyDescent="0.35">
      <c r="F32" t="s">
        <v>50</v>
      </c>
      <c r="Q32" s="1" t="s">
        <v>50</v>
      </c>
    </row>
    <row r="33" spans="2:25" x14ac:dyDescent="0.35">
      <c r="B33" s="25" t="s">
        <v>79</v>
      </c>
      <c r="F33" t="s">
        <v>77</v>
      </c>
      <c r="M33" t="s">
        <v>79</v>
      </c>
      <c r="Q33" t="s">
        <v>77</v>
      </c>
    </row>
    <row r="34" spans="2:25" ht="15" thickBot="1" x14ac:dyDescent="0.4">
      <c r="W34" s="19"/>
      <c r="X34" s="19"/>
      <c r="Y34" s="19"/>
    </row>
    <row r="35" spans="2:25" x14ac:dyDescent="0.35">
      <c r="B35" s="36" t="s">
        <v>4</v>
      </c>
      <c r="F35" s="36" t="s">
        <v>4</v>
      </c>
      <c r="M35" s="36" t="s">
        <v>5</v>
      </c>
      <c r="Q35" s="36" t="s">
        <v>5</v>
      </c>
    </row>
    <row r="36" spans="2:25" x14ac:dyDescent="0.35">
      <c r="B36" s="37" t="s">
        <v>25</v>
      </c>
      <c r="F36" s="37" t="s">
        <v>27</v>
      </c>
      <c r="M36" s="37" t="s">
        <v>25</v>
      </c>
      <c r="Q36" s="37" t="s">
        <v>38</v>
      </c>
      <c r="W36" s="24"/>
      <c r="X36" s="24"/>
      <c r="Y36" s="24"/>
    </row>
    <row r="37" spans="2:25" x14ac:dyDescent="0.35">
      <c r="B37" s="37" t="s">
        <v>25</v>
      </c>
      <c r="F37" s="37" t="s">
        <v>37</v>
      </c>
      <c r="M37" s="38" t="s">
        <v>19</v>
      </c>
      <c r="Q37" s="61" t="s">
        <v>78</v>
      </c>
      <c r="S37" s="50" t="s">
        <v>82</v>
      </c>
      <c r="U37" t="s">
        <v>90</v>
      </c>
      <c r="W37" s="24"/>
      <c r="X37" s="24"/>
      <c r="Y37" s="24"/>
    </row>
    <row r="38" spans="2:25" x14ac:dyDescent="0.35">
      <c r="B38" s="41" t="s">
        <v>25</v>
      </c>
      <c r="F38" s="51" t="s">
        <v>78</v>
      </c>
      <c r="H38" s="50" t="s">
        <v>82</v>
      </c>
      <c r="I38" t="s">
        <v>90</v>
      </c>
      <c r="M38" s="39" t="s">
        <v>8</v>
      </c>
      <c r="Q38" s="39" t="s">
        <v>17</v>
      </c>
      <c r="W38" s="24"/>
      <c r="X38" s="24"/>
      <c r="Y38" s="24"/>
    </row>
    <row r="39" spans="2:25" ht="15" thickBot="1" x14ac:dyDescent="0.4">
      <c r="B39" s="38" t="s">
        <v>19</v>
      </c>
      <c r="F39" s="38" t="s">
        <v>23</v>
      </c>
      <c r="M39" s="40" t="s">
        <v>8</v>
      </c>
      <c r="Q39" s="67" t="s">
        <v>14</v>
      </c>
      <c r="S39" s="50"/>
      <c r="W39" s="24"/>
      <c r="X39" s="24"/>
      <c r="Y39" s="24"/>
    </row>
    <row r="40" spans="2:25" x14ac:dyDescent="0.35">
      <c r="B40" s="39" t="s">
        <v>8</v>
      </c>
      <c r="F40" s="39" t="s">
        <v>10</v>
      </c>
      <c r="S40" s="50"/>
    </row>
    <row r="41" spans="2:25" x14ac:dyDescent="0.35">
      <c r="B41" s="39" t="s">
        <v>8</v>
      </c>
      <c r="F41" s="39" t="s">
        <v>9</v>
      </c>
    </row>
    <row r="42" spans="2:25" x14ac:dyDescent="0.35">
      <c r="B42" s="39" t="s">
        <v>8</v>
      </c>
      <c r="F42" s="39" t="s">
        <v>15</v>
      </c>
      <c r="O42" t="s">
        <v>107</v>
      </c>
      <c r="S42" s="50"/>
    </row>
    <row r="43" spans="2:25" ht="15" thickBot="1" x14ac:dyDescent="0.4">
      <c r="B43" s="40" t="s">
        <v>8</v>
      </c>
      <c r="F43" s="62" t="s">
        <v>78</v>
      </c>
      <c r="H43" s="50" t="s">
        <v>82</v>
      </c>
      <c r="I43" t="s">
        <v>90</v>
      </c>
    </row>
    <row r="44" spans="2:25" x14ac:dyDescent="0.35">
      <c r="C44" s="1" t="s">
        <v>49</v>
      </c>
      <c r="N44" s="1" t="s">
        <v>49</v>
      </c>
    </row>
    <row r="45" spans="2:25" x14ac:dyDescent="0.35">
      <c r="C45" t="s">
        <v>80</v>
      </c>
      <c r="N45" t="s">
        <v>80</v>
      </c>
    </row>
    <row r="46" spans="2:25" ht="15" thickBot="1" x14ac:dyDescent="0.4"/>
    <row r="47" spans="2:25" x14ac:dyDescent="0.35">
      <c r="C47" s="42" t="s">
        <v>0</v>
      </c>
      <c r="D47" s="43" t="s">
        <v>1</v>
      </c>
      <c r="E47" s="44" t="s">
        <v>4</v>
      </c>
      <c r="N47" s="42" t="s">
        <v>0</v>
      </c>
      <c r="O47" s="43" t="s">
        <v>1</v>
      </c>
      <c r="P47" s="44" t="s">
        <v>5</v>
      </c>
    </row>
    <row r="48" spans="2:25" x14ac:dyDescent="0.35">
      <c r="C48" s="45" t="s">
        <v>27</v>
      </c>
      <c r="D48" t="s">
        <v>25</v>
      </c>
      <c r="E48" s="46">
        <v>86</v>
      </c>
      <c r="N48" s="45" t="s">
        <v>28</v>
      </c>
      <c r="O48" t="s">
        <v>25</v>
      </c>
      <c r="P48" s="46">
        <v>96.9</v>
      </c>
    </row>
    <row r="49" spans="3:28" x14ac:dyDescent="0.35">
      <c r="C49" s="45" t="s">
        <v>37</v>
      </c>
      <c r="D49" t="s">
        <v>25</v>
      </c>
      <c r="E49" s="46">
        <v>48.1</v>
      </c>
      <c r="N49" s="56" t="s">
        <v>38</v>
      </c>
      <c r="O49" s="57" t="s">
        <v>25</v>
      </c>
      <c r="P49" s="58">
        <v>85.5</v>
      </c>
    </row>
    <row r="50" spans="3:28" x14ac:dyDescent="0.35">
      <c r="C50" s="45" t="s">
        <v>23</v>
      </c>
      <c r="D50" t="s">
        <v>19</v>
      </c>
      <c r="E50" s="46">
        <v>73.3</v>
      </c>
      <c r="N50" s="56" t="s">
        <v>24</v>
      </c>
      <c r="O50" s="57" t="s">
        <v>25</v>
      </c>
      <c r="P50" s="58">
        <v>84.3</v>
      </c>
      <c r="T50" s="1" t="s">
        <v>68</v>
      </c>
      <c r="W50" s="1" t="s">
        <v>72</v>
      </c>
    </row>
    <row r="51" spans="3:28" x14ac:dyDescent="0.35">
      <c r="C51" s="45" t="s">
        <v>10</v>
      </c>
      <c r="D51" t="s">
        <v>8</v>
      </c>
      <c r="E51" s="46">
        <v>95.3</v>
      </c>
      <c r="N51" s="56" t="s">
        <v>32</v>
      </c>
      <c r="O51" s="57" t="s">
        <v>25</v>
      </c>
      <c r="P51" s="58">
        <v>70.5</v>
      </c>
      <c r="T51" t="s">
        <v>83</v>
      </c>
      <c r="W51" t="s">
        <v>84</v>
      </c>
    </row>
    <row r="52" spans="3:28" x14ac:dyDescent="0.35">
      <c r="C52" s="45" t="s">
        <v>9</v>
      </c>
      <c r="D52" t="s">
        <v>8</v>
      </c>
      <c r="E52" s="46">
        <v>91</v>
      </c>
      <c r="N52" s="56" t="s">
        <v>33</v>
      </c>
      <c r="O52" s="57" t="s">
        <v>25</v>
      </c>
      <c r="P52" s="58">
        <v>63.4</v>
      </c>
    </row>
    <row r="53" spans="3:28" ht="15" thickBot="1" x14ac:dyDescent="0.4">
      <c r="C53" s="45" t="s">
        <v>15</v>
      </c>
      <c r="D53" t="s">
        <v>8</v>
      </c>
      <c r="E53" s="46">
        <v>87.1</v>
      </c>
      <c r="N53" s="45" t="s">
        <v>17</v>
      </c>
      <c r="O53" t="s">
        <v>8</v>
      </c>
      <c r="P53" s="46">
        <v>89.1</v>
      </c>
      <c r="W53" t="s">
        <v>81</v>
      </c>
      <c r="X53" t="s">
        <v>85</v>
      </c>
    </row>
    <row r="54" spans="3:28" x14ac:dyDescent="0.35">
      <c r="C54" s="59" t="s">
        <v>64</v>
      </c>
      <c r="D54" s="23" t="s">
        <v>65</v>
      </c>
      <c r="E54" s="60"/>
      <c r="N54" s="45" t="s">
        <v>14</v>
      </c>
      <c r="O54" t="s">
        <v>8</v>
      </c>
      <c r="P54" s="46">
        <v>76.400000000000006</v>
      </c>
      <c r="W54" s="42" t="s">
        <v>0</v>
      </c>
      <c r="X54" s="43" t="s">
        <v>1</v>
      </c>
      <c r="Y54" s="43" t="s">
        <v>70</v>
      </c>
      <c r="Z54" s="43" t="s">
        <v>71</v>
      </c>
      <c r="AA54" s="43" t="s">
        <v>75</v>
      </c>
      <c r="AB54" s="44" t="s">
        <v>71</v>
      </c>
    </row>
    <row r="55" spans="3:28" ht="15" thickBot="1" x14ac:dyDescent="0.4">
      <c r="C55" s="47" t="s">
        <v>64</v>
      </c>
      <c r="D55" s="48" t="s">
        <v>25</v>
      </c>
      <c r="E55" s="49"/>
      <c r="N55" s="47" t="s">
        <v>64</v>
      </c>
      <c r="O55" s="48" t="s">
        <v>19</v>
      </c>
      <c r="P55" s="49"/>
      <c r="W55" s="56" t="s">
        <v>38</v>
      </c>
      <c r="X55" s="57" t="s">
        <v>25</v>
      </c>
      <c r="Y55" t="s">
        <v>5</v>
      </c>
      <c r="Z55" s="63">
        <v>85.5</v>
      </c>
      <c r="AA55" t="s">
        <v>6</v>
      </c>
      <c r="AB55" s="64">
        <v>95.9</v>
      </c>
    </row>
    <row r="56" spans="3:28" x14ac:dyDescent="0.35">
      <c r="W56" s="56" t="s">
        <v>24</v>
      </c>
      <c r="X56" s="57" t="s">
        <v>25</v>
      </c>
      <c r="Y56" t="s">
        <v>5</v>
      </c>
      <c r="Z56" s="63">
        <v>84.3</v>
      </c>
      <c r="AA56" t="s">
        <v>4</v>
      </c>
      <c r="AB56" s="64">
        <v>74.900000000000006</v>
      </c>
    </row>
    <row r="57" spans="3:28" x14ac:dyDescent="0.35">
      <c r="W57" s="56" t="s">
        <v>32</v>
      </c>
      <c r="X57" s="57" t="s">
        <v>25</v>
      </c>
      <c r="Y57" t="s">
        <v>5</v>
      </c>
      <c r="Z57" s="63">
        <v>70.5</v>
      </c>
      <c r="AA57" t="s">
        <v>5</v>
      </c>
      <c r="AB57" s="64">
        <v>70.5</v>
      </c>
    </row>
    <row r="58" spans="3:28" ht="15" thickBot="1" x14ac:dyDescent="0.4">
      <c r="W58" s="65" t="s">
        <v>33</v>
      </c>
      <c r="X58" s="66" t="s">
        <v>25</v>
      </c>
      <c r="Y58" s="9" t="s">
        <v>5</v>
      </c>
      <c r="Z58" s="53">
        <v>63.4</v>
      </c>
      <c r="AA58" s="9" t="s">
        <v>2</v>
      </c>
      <c r="AB58" s="55">
        <v>57.9</v>
      </c>
    </row>
  </sheetData>
  <hyperlinks>
    <hyperlink ref="W28:Z28" location="'Stage 2'!A1" display="VP7" xr:uid="{CBCD99EA-834C-4796-83E9-942C35EA0FC7}"/>
    <hyperlink ref="N49:P52" location="'Stage 2'!A1" display="VP9" xr:uid="{9E064323-794A-451D-831C-354EE5E3D3F5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59DEC-47E9-43C1-92E4-29A66567C895}">
  <dimension ref="B1:G21"/>
  <sheetViews>
    <sheetView topLeftCell="A7" workbookViewId="0">
      <selection activeCell="G15" sqref="G15"/>
    </sheetView>
  </sheetViews>
  <sheetFormatPr defaultRowHeight="14.5" x14ac:dyDescent="0.35"/>
  <cols>
    <col min="4" max="4" width="19" bestFit="1" customWidth="1"/>
    <col min="5" max="5" width="17.453125" bestFit="1" customWidth="1"/>
    <col min="6" max="6" width="18" bestFit="1" customWidth="1"/>
  </cols>
  <sheetData>
    <row r="1" spans="2:7" x14ac:dyDescent="0.35">
      <c r="D1" s="1" t="s">
        <v>58</v>
      </c>
    </row>
    <row r="3" spans="2:7" x14ac:dyDescent="0.35">
      <c r="D3" s="15" t="s">
        <v>39</v>
      </c>
      <c r="E3" s="15" t="s">
        <v>41</v>
      </c>
      <c r="F3" s="15" t="s">
        <v>40</v>
      </c>
      <c r="G3" s="20" t="s">
        <v>48</v>
      </c>
    </row>
    <row r="4" spans="2:7" x14ac:dyDescent="0.35">
      <c r="C4" t="s">
        <v>42</v>
      </c>
      <c r="D4">
        <v>2</v>
      </c>
      <c r="E4">
        <v>1</v>
      </c>
      <c r="F4">
        <v>3</v>
      </c>
      <c r="G4" s="12">
        <v>6</v>
      </c>
    </row>
    <row r="5" spans="2:7" x14ac:dyDescent="0.35">
      <c r="C5" t="s">
        <v>43</v>
      </c>
      <c r="D5">
        <v>2</v>
      </c>
      <c r="E5">
        <v>2</v>
      </c>
      <c r="F5">
        <v>2</v>
      </c>
      <c r="G5" s="12">
        <v>6</v>
      </c>
    </row>
    <row r="6" spans="2:7" x14ac:dyDescent="0.35">
      <c r="C6" t="s">
        <v>44</v>
      </c>
      <c r="D6">
        <v>4</v>
      </c>
      <c r="E6">
        <v>1</v>
      </c>
      <c r="F6">
        <v>3</v>
      </c>
      <c r="G6" s="12">
        <v>8</v>
      </c>
    </row>
    <row r="7" spans="2:7" x14ac:dyDescent="0.35">
      <c r="C7" t="s">
        <v>45</v>
      </c>
      <c r="D7">
        <v>2</v>
      </c>
      <c r="E7">
        <v>1</v>
      </c>
      <c r="F7">
        <v>1</v>
      </c>
      <c r="G7" s="12">
        <v>4</v>
      </c>
    </row>
    <row r="8" spans="2:7" x14ac:dyDescent="0.35">
      <c r="C8" t="s">
        <v>46</v>
      </c>
      <c r="D8">
        <v>0</v>
      </c>
      <c r="E8">
        <v>0</v>
      </c>
      <c r="F8">
        <v>5</v>
      </c>
      <c r="G8" s="12">
        <v>5</v>
      </c>
    </row>
    <row r="9" spans="2:7" ht="15" thickBot="1" x14ac:dyDescent="0.4">
      <c r="C9" s="21" t="s">
        <v>47</v>
      </c>
      <c r="D9" s="11">
        <v>10</v>
      </c>
      <c r="E9" s="11">
        <v>5</v>
      </c>
      <c r="F9" s="11">
        <v>14</v>
      </c>
      <c r="G9">
        <f>SUM(G4:G8)</f>
        <v>29</v>
      </c>
    </row>
    <row r="10" spans="2:7" ht="15" thickTop="1" x14ac:dyDescent="0.35"/>
    <row r="13" spans="2:7" x14ac:dyDescent="0.35">
      <c r="C13" s="19" t="s">
        <v>57</v>
      </c>
    </row>
    <row r="15" spans="2:7" x14ac:dyDescent="0.35">
      <c r="B15" t="s">
        <v>49</v>
      </c>
      <c r="C15" t="s">
        <v>53</v>
      </c>
      <c r="E15" s="1"/>
      <c r="G15" s="68" t="s">
        <v>86</v>
      </c>
    </row>
    <row r="16" spans="2:7" x14ac:dyDescent="0.35">
      <c r="B16" s="22" t="s">
        <v>50</v>
      </c>
      <c r="C16" t="s">
        <v>51</v>
      </c>
    </row>
    <row r="17" spans="2:7" x14ac:dyDescent="0.35">
      <c r="B17" s="22"/>
      <c r="C17" t="s">
        <v>52</v>
      </c>
    </row>
    <row r="18" spans="2:7" x14ac:dyDescent="0.35">
      <c r="B18" s="22"/>
      <c r="C18" s="18" t="s">
        <v>55</v>
      </c>
      <c r="G18" s="70" t="s">
        <v>89</v>
      </c>
    </row>
    <row r="19" spans="2:7" x14ac:dyDescent="0.35">
      <c r="C19" t="s">
        <v>59</v>
      </c>
    </row>
    <row r="20" spans="2:7" x14ac:dyDescent="0.35">
      <c r="B20" t="s">
        <v>54</v>
      </c>
      <c r="C20" t="s">
        <v>59</v>
      </c>
    </row>
    <row r="21" spans="2:7" x14ac:dyDescent="0.35">
      <c r="B21" t="s">
        <v>56</v>
      </c>
      <c r="C21" t="s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C392-3DBC-4888-8676-CE4E321B2BF1}">
  <dimension ref="B1:Q30"/>
  <sheetViews>
    <sheetView topLeftCell="D1" zoomScaleNormal="100" workbookViewId="0">
      <selection activeCell="L19" sqref="L19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1" spans="2:17" x14ac:dyDescent="0.35"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L1" t="s">
        <v>39</v>
      </c>
      <c r="M1" t="s">
        <v>41</v>
      </c>
      <c r="N1" t="s">
        <v>40</v>
      </c>
      <c r="O1" s="12" t="s">
        <v>48</v>
      </c>
    </row>
    <row r="2" spans="2:17" x14ac:dyDescent="0.35">
      <c r="B2" t="s">
        <v>7</v>
      </c>
      <c r="C2" t="s">
        <v>8</v>
      </c>
      <c r="D2">
        <v>68.8</v>
      </c>
      <c r="E2">
        <v>83.4</v>
      </c>
      <c r="F2">
        <v>19.8</v>
      </c>
      <c r="G2">
        <v>38.200000000000003</v>
      </c>
      <c r="H2" s="4">
        <v>84</v>
      </c>
      <c r="K2" t="s">
        <v>42</v>
      </c>
      <c r="L2">
        <v>2</v>
      </c>
      <c r="M2">
        <v>1</v>
      </c>
      <c r="N2">
        <v>3</v>
      </c>
      <c r="O2" s="12">
        <v>6</v>
      </c>
    </row>
    <row r="3" spans="2:17" x14ac:dyDescent="0.35">
      <c r="B3" t="s">
        <v>9</v>
      </c>
      <c r="C3" t="s">
        <v>8</v>
      </c>
      <c r="D3">
        <v>69.2</v>
      </c>
      <c r="E3">
        <v>83</v>
      </c>
      <c r="F3" s="4">
        <v>91</v>
      </c>
      <c r="G3">
        <v>56.2</v>
      </c>
      <c r="H3">
        <v>79.8</v>
      </c>
      <c r="K3" t="s">
        <v>43</v>
      </c>
      <c r="L3">
        <v>2</v>
      </c>
      <c r="M3">
        <v>2</v>
      </c>
      <c r="N3">
        <v>2</v>
      </c>
      <c r="O3" s="12">
        <v>6</v>
      </c>
    </row>
    <row r="4" spans="2:17" x14ac:dyDescent="0.35">
      <c r="B4" t="s">
        <v>10</v>
      </c>
      <c r="C4" t="s">
        <v>8</v>
      </c>
      <c r="D4">
        <v>19.8</v>
      </c>
      <c r="E4">
        <v>33.200000000000003</v>
      </c>
      <c r="F4" s="4">
        <v>95.3</v>
      </c>
      <c r="G4">
        <v>12.4</v>
      </c>
      <c r="H4">
        <v>57.9</v>
      </c>
      <c r="K4" t="s">
        <v>44</v>
      </c>
      <c r="L4">
        <v>4</v>
      </c>
      <c r="M4">
        <v>1</v>
      </c>
      <c r="N4">
        <v>3</v>
      </c>
      <c r="O4" s="12">
        <v>8</v>
      </c>
    </row>
    <row r="5" spans="2:17" x14ac:dyDescent="0.35">
      <c r="B5" t="s">
        <v>11</v>
      </c>
      <c r="C5" t="s">
        <v>8</v>
      </c>
      <c r="D5" s="4">
        <v>98.5</v>
      </c>
      <c r="E5">
        <v>84.4</v>
      </c>
      <c r="F5">
        <v>7.2</v>
      </c>
      <c r="G5">
        <v>83</v>
      </c>
      <c r="H5">
        <v>31.2</v>
      </c>
      <c r="K5" t="s">
        <v>45</v>
      </c>
      <c r="L5">
        <v>2</v>
      </c>
      <c r="M5">
        <v>1</v>
      </c>
      <c r="N5">
        <v>1</v>
      </c>
      <c r="O5" s="12">
        <v>4</v>
      </c>
    </row>
    <row r="6" spans="2:17" x14ac:dyDescent="0.35">
      <c r="B6" t="s">
        <v>12</v>
      </c>
      <c r="C6" t="s">
        <v>8</v>
      </c>
      <c r="D6">
        <v>39.6</v>
      </c>
      <c r="E6">
        <v>1.3</v>
      </c>
      <c r="F6">
        <v>54.9</v>
      </c>
      <c r="G6">
        <v>26.3</v>
      </c>
      <c r="H6" s="4">
        <v>65</v>
      </c>
      <c r="K6" t="s">
        <v>46</v>
      </c>
      <c r="L6">
        <v>0</v>
      </c>
      <c r="M6">
        <v>0</v>
      </c>
      <c r="N6">
        <v>5</v>
      </c>
      <c r="O6" s="12">
        <v>5</v>
      </c>
    </row>
    <row r="7" spans="2:17" ht="15" thickBot="1" x14ac:dyDescent="0.4">
      <c r="B7" t="s">
        <v>13</v>
      </c>
      <c r="C7" t="s">
        <v>8</v>
      </c>
      <c r="D7">
        <v>67.900000000000006</v>
      </c>
      <c r="E7" s="4">
        <v>84.7</v>
      </c>
      <c r="F7">
        <v>35.700000000000003</v>
      </c>
      <c r="G7">
        <v>21.3</v>
      </c>
      <c r="H7">
        <v>43.2</v>
      </c>
      <c r="K7" s="11" t="s">
        <v>47</v>
      </c>
      <c r="L7" s="11">
        <v>10</v>
      </c>
      <c r="M7" s="11">
        <v>5</v>
      </c>
      <c r="N7" s="11">
        <v>14</v>
      </c>
    </row>
    <row r="8" spans="2:17" ht="15" thickTop="1" x14ac:dyDescent="0.35">
      <c r="B8" t="s">
        <v>14</v>
      </c>
      <c r="C8" t="s">
        <v>8</v>
      </c>
      <c r="D8">
        <v>44.5</v>
      </c>
      <c r="E8">
        <v>16.8</v>
      </c>
      <c r="F8">
        <v>73.099999999999994</v>
      </c>
      <c r="G8" s="4">
        <v>76.400000000000006</v>
      </c>
      <c r="H8">
        <v>8.6</v>
      </c>
    </row>
    <row r="9" spans="2:17" x14ac:dyDescent="0.35">
      <c r="B9" t="s">
        <v>15</v>
      </c>
      <c r="C9" t="s">
        <v>8</v>
      </c>
      <c r="D9">
        <v>46.3</v>
      </c>
      <c r="E9">
        <v>24.1</v>
      </c>
      <c r="F9" s="4">
        <v>87.1</v>
      </c>
      <c r="G9">
        <v>47.8</v>
      </c>
      <c r="H9">
        <v>30.2</v>
      </c>
    </row>
    <row r="10" spans="2:17" x14ac:dyDescent="0.35">
      <c r="B10" t="s">
        <v>16</v>
      </c>
      <c r="C10" t="s">
        <v>8</v>
      </c>
      <c r="D10" s="4">
        <v>96.8</v>
      </c>
      <c r="E10">
        <v>64.900000000000006</v>
      </c>
      <c r="F10">
        <v>7</v>
      </c>
      <c r="G10">
        <v>78.8</v>
      </c>
      <c r="H10">
        <v>22.2</v>
      </c>
      <c r="K10" s="13" t="s">
        <v>49</v>
      </c>
      <c r="L10" s="13" t="s">
        <v>86</v>
      </c>
      <c r="M10" s="13"/>
      <c r="N10" s="13"/>
      <c r="O10" s="13"/>
      <c r="P10" s="1"/>
      <c r="Q10" s="1"/>
    </row>
    <row r="11" spans="2:17" ht="15" thickBot="1" x14ac:dyDescent="0.4">
      <c r="B11" s="9" t="s">
        <v>17</v>
      </c>
      <c r="C11" s="9" t="s">
        <v>8</v>
      </c>
      <c r="D11" s="9">
        <v>78.900000000000006</v>
      </c>
      <c r="E11" s="9">
        <v>84</v>
      </c>
      <c r="F11" s="9">
        <v>22.4</v>
      </c>
      <c r="G11" s="17">
        <v>89.1</v>
      </c>
      <c r="H11" s="9">
        <v>35.700000000000003</v>
      </c>
      <c r="K11" t="s">
        <v>50</v>
      </c>
      <c r="L11" t="s">
        <v>51</v>
      </c>
    </row>
    <row r="12" spans="2:17" x14ac:dyDescent="0.35">
      <c r="B12" t="s">
        <v>18</v>
      </c>
      <c r="C12" t="s">
        <v>19</v>
      </c>
      <c r="D12">
        <v>50.9</v>
      </c>
      <c r="E12">
        <v>46</v>
      </c>
      <c r="F12">
        <v>7.2</v>
      </c>
      <c r="G12">
        <v>7.4</v>
      </c>
      <c r="H12" s="4">
        <v>90.3</v>
      </c>
      <c r="L12" t="s">
        <v>52</v>
      </c>
    </row>
    <row r="13" spans="2:17" x14ac:dyDescent="0.35">
      <c r="B13" t="s">
        <v>20</v>
      </c>
      <c r="C13" t="s">
        <v>19</v>
      </c>
      <c r="D13" s="4">
        <v>76.7</v>
      </c>
      <c r="E13">
        <v>52.8</v>
      </c>
      <c r="F13">
        <v>1.3</v>
      </c>
      <c r="G13">
        <v>0.7</v>
      </c>
      <c r="H13">
        <v>19.7</v>
      </c>
      <c r="L13" s="18" t="s">
        <v>55</v>
      </c>
    </row>
    <row r="14" spans="2:17" x14ac:dyDescent="0.35">
      <c r="B14" t="s">
        <v>21</v>
      </c>
      <c r="C14" t="s">
        <v>19</v>
      </c>
      <c r="D14">
        <v>28.3</v>
      </c>
      <c r="E14">
        <v>40.4</v>
      </c>
      <c r="F14">
        <v>12.6</v>
      </c>
      <c r="G14">
        <v>43.9</v>
      </c>
      <c r="H14" s="4">
        <v>84.7</v>
      </c>
      <c r="L14" t="s">
        <v>59</v>
      </c>
    </row>
    <row r="15" spans="2:17" x14ac:dyDescent="0.35">
      <c r="B15" t="s">
        <v>22</v>
      </c>
      <c r="C15" t="s">
        <v>19</v>
      </c>
      <c r="D15">
        <v>8.5</v>
      </c>
      <c r="E15">
        <v>60.3</v>
      </c>
      <c r="F15">
        <v>27.9</v>
      </c>
      <c r="G15">
        <v>31.8</v>
      </c>
      <c r="H15" s="4">
        <v>66.7</v>
      </c>
      <c r="K15" t="s">
        <v>54</v>
      </c>
      <c r="L15" t="s">
        <v>59</v>
      </c>
    </row>
    <row r="16" spans="2:17" ht="15" thickBot="1" x14ac:dyDescent="0.4">
      <c r="B16" s="9" t="s">
        <v>23</v>
      </c>
      <c r="C16" s="9" t="s">
        <v>19</v>
      </c>
      <c r="D16" s="9">
        <v>14.3</v>
      </c>
      <c r="E16" s="9">
        <v>45</v>
      </c>
      <c r="F16" s="17">
        <v>73.3</v>
      </c>
      <c r="G16" s="9">
        <v>51.8</v>
      </c>
      <c r="H16" s="9">
        <v>36.1</v>
      </c>
      <c r="K16" t="s">
        <v>56</v>
      </c>
      <c r="L16" t="s">
        <v>60</v>
      </c>
    </row>
    <row r="17" spans="2:8" x14ac:dyDescent="0.35">
      <c r="B17" t="s">
        <v>24</v>
      </c>
      <c r="C17" t="s">
        <v>25</v>
      </c>
      <c r="D17">
        <v>47.4</v>
      </c>
      <c r="E17">
        <v>72.5</v>
      </c>
      <c r="F17">
        <v>74.900000000000006</v>
      </c>
      <c r="G17" s="4">
        <v>84.3</v>
      </c>
      <c r="H17">
        <v>18.899999999999999</v>
      </c>
    </row>
    <row r="18" spans="2:8" x14ac:dyDescent="0.35">
      <c r="B18" t="s">
        <v>26</v>
      </c>
      <c r="C18" t="s">
        <v>25</v>
      </c>
      <c r="D18">
        <v>58.9</v>
      </c>
      <c r="E18" s="4">
        <v>99</v>
      </c>
      <c r="F18">
        <v>92.4</v>
      </c>
      <c r="G18">
        <v>57.6</v>
      </c>
      <c r="H18">
        <v>89.7</v>
      </c>
    </row>
    <row r="19" spans="2:8" x14ac:dyDescent="0.35">
      <c r="B19" t="s">
        <v>27</v>
      </c>
      <c r="C19" t="s">
        <v>25</v>
      </c>
      <c r="D19">
        <v>55.1</v>
      </c>
      <c r="E19">
        <v>20.9</v>
      </c>
      <c r="F19" s="4">
        <v>86</v>
      </c>
      <c r="G19">
        <v>77.8</v>
      </c>
      <c r="H19">
        <v>54.7</v>
      </c>
    </row>
    <row r="20" spans="2:8" x14ac:dyDescent="0.35">
      <c r="B20" t="s">
        <v>28</v>
      </c>
      <c r="C20" t="s">
        <v>25</v>
      </c>
      <c r="D20">
        <v>16.3</v>
      </c>
      <c r="E20">
        <v>22.8</v>
      </c>
      <c r="F20">
        <v>82</v>
      </c>
      <c r="G20" s="4">
        <v>96.9</v>
      </c>
      <c r="H20">
        <v>28.7</v>
      </c>
    </row>
    <row r="21" spans="2:8" x14ac:dyDescent="0.35">
      <c r="B21" t="s">
        <v>29</v>
      </c>
      <c r="C21" t="s">
        <v>25</v>
      </c>
      <c r="D21" s="4">
        <v>83.9</v>
      </c>
      <c r="E21">
        <v>4.8</v>
      </c>
      <c r="F21">
        <v>70.2</v>
      </c>
      <c r="G21">
        <v>58.1</v>
      </c>
      <c r="H21">
        <v>46.3</v>
      </c>
    </row>
    <row r="22" spans="2:8" x14ac:dyDescent="0.35">
      <c r="B22" t="s">
        <v>30</v>
      </c>
      <c r="C22" t="s">
        <v>25</v>
      </c>
      <c r="D22" s="4">
        <v>70</v>
      </c>
      <c r="E22">
        <v>5.9</v>
      </c>
      <c r="F22">
        <v>26.7</v>
      </c>
      <c r="G22">
        <v>18.399999999999999</v>
      </c>
      <c r="H22">
        <v>41.7</v>
      </c>
    </row>
    <row r="23" spans="2:8" x14ac:dyDescent="0.35">
      <c r="B23" t="s">
        <v>31</v>
      </c>
      <c r="C23" t="s">
        <v>25</v>
      </c>
      <c r="D23">
        <v>52.5</v>
      </c>
      <c r="E23">
        <v>71.5</v>
      </c>
      <c r="F23">
        <v>7</v>
      </c>
      <c r="G23">
        <v>70.3</v>
      </c>
      <c r="H23" s="4">
        <v>91.7</v>
      </c>
    </row>
    <row r="24" spans="2:8" x14ac:dyDescent="0.35">
      <c r="B24" t="s">
        <v>32</v>
      </c>
      <c r="C24" t="s">
        <v>25</v>
      </c>
      <c r="D24">
        <v>3.4</v>
      </c>
      <c r="E24">
        <v>63.3</v>
      </c>
      <c r="F24">
        <v>36.200000000000003</v>
      </c>
      <c r="G24" s="4">
        <v>70.5</v>
      </c>
      <c r="H24">
        <v>63.8</v>
      </c>
    </row>
    <row r="25" spans="2:8" x14ac:dyDescent="0.35">
      <c r="B25" t="s">
        <v>33</v>
      </c>
      <c r="C25" t="s">
        <v>25</v>
      </c>
      <c r="D25">
        <v>57.9</v>
      </c>
      <c r="E25">
        <v>50.4</v>
      </c>
      <c r="F25">
        <v>5.0999999999999996</v>
      </c>
      <c r="G25" s="4">
        <v>63.4</v>
      </c>
      <c r="H25">
        <v>4.8</v>
      </c>
    </row>
    <row r="26" spans="2:8" x14ac:dyDescent="0.35">
      <c r="B26" t="s">
        <v>34</v>
      </c>
      <c r="C26" t="s">
        <v>25</v>
      </c>
      <c r="D26">
        <v>93.4</v>
      </c>
      <c r="E26" s="4">
        <v>95.8</v>
      </c>
      <c r="F26">
        <v>58.4</v>
      </c>
      <c r="G26">
        <v>81.599999999999994</v>
      </c>
      <c r="H26">
        <v>29.2</v>
      </c>
    </row>
    <row r="27" spans="2:8" x14ac:dyDescent="0.35">
      <c r="B27" t="s">
        <v>35</v>
      </c>
      <c r="C27" t="s">
        <v>25</v>
      </c>
      <c r="D27">
        <v>33.799999999999997</v>
      </c>
      <c r="E27" s="4">
        <v>93.3</v>
      </c>
      <c r="F27">
        <v>64.900000000000006</v>
      </c>
      <c r="G27">
        <v>63.2</v>
      </c>
      <c r="H27">
        <v>7.1</v>
      </c>
    </row>
    <row r="28" spans="2:8" x14ac:dyDescent="0.35">
      <c r="B28" t="s">
        <v>36</v>
      </c>
      <c r="C28" t="s">
        <v>25</v>
      </c>
      <c r="D28">
        <v>15.6</v>
      </c>
      <c r="E28" s="4">
        <v>77.599999999999994</v>
      </c>
      <c r="F28">
        <v>24.3</v>
      </c>
      <c r="G28">
        <v>5.3</v>
      </c>
      <c r="H28">
        <v>53.5</v>
      </c>
    </row>
    <row r="29" spans="2:8" x14ac:dyDescent="0.35">
      <c r="B29" t="s">
        <v>37</v>
      </c>
      <c r="C29" t="s">
        <v>25</v>
      </c>
      <c r="D29">
        <v>17.2</v>
      </c>
      <c r="E29">
        <v>13.3</v>
      </c>
      <c r="F29" s="4">
        <v>48.1</v>
      </c>
      <c r="G29">
        <v>31.2</v>
      </c>
      <c r="H29">
        <v>31.9</v>
      </c>
    </row>
    <row r="30" spans="2:8" x14ac:dyDescent="0.35">
      <c r="B30" t="s">
        <v>38</v>
      </c>
      <c r="C30" t="s">
        <v>25</v>
      </c>
      <c r="D30">
        <v>5.0999999999999996</v>
      </c>
      <c r="E30">
        <v>9.9</v>
      </c>
      <c r="F30">
        <v>60.4</v>
      </c>
      <c r="G30" s="4">
        <v>85.5</v>
      </c>
      <c r="H30">
        <v>95.9</v>
      </c>
    </row>
  </sheetData>
  <autoFilter ref="B1:H30" xr:uid="{25C3A135-87E2-4A5E-8E06-586A6DE8385B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E5F-AF7D-41D4-BF57-6A1EA4CEA7A3}">
  <dimension ref="B2:S31"/>
  <sheetViews>
    <sheetView topLeftCell="J3" zoomScale="138" zoomScaleNormal="100" workbookViewId="0">
      <selection activeCell="P14" sqref="L14:P14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9" ht="15" thickBot="1" x14ac:dyDescent="0.4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9" ht="15" thickBot="1" x14ac:dyDescent="0.4">
      <c r="B3" s="32" t="s">
        <v>7</v>
      </c>
      <c r="C3" s="26" t="s">
        <v>8</v>
      </c>
      <c r="D3" s="26">
        <v>68.8</v>
      </c>
      <c r="E3" s="30">
        <v>83.4</v>
      </c>
      <c r="F3" s="26">
        <v>19.8</v>
      </c>
      <c r="G3" s="26">
        <v>38.200000000000003</v>
      </c>
      <c r="H3" s="33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9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9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9" ht="15" thickBot="1" x14ac:dyDescent="0.4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9" ht="15" thickBot="1" x14ac:dyDescent="0.4">
      <c r="B7" s="32" t="s">
        <v>12</v>
      </c>
      <c r="C7" s="26" t="s">
        <v>8</v>
      </c>
      <c r="D7" s="26">
        <v>39.6</v>
      </c>
      <c r="E7" s="26">
        <v>1.3</v>
      </c>
      <c r="F7" s="30">
        <v>54.9</v>
      </c>
      <c r="G7" s="26">
        <v>26.3</v>
      </c>
      <c r="H7" s="33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9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9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9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9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72" t="s">
        <v>53</v>
      </c>
      <c r="M11" s="72"/>
      <c r="N11" s="72"/>
      <c r="O11" s="72"/>
      <c r="P11" s="72"/>
      <c r="Q11" s="72"/>
    </row>
    <row r="12" spans="2:19" ht="15" thickBot="1" x14ac:dyDescent="0.4">
      <c r="B12" t="s">
        <v>17</v>
      </c>
      <c r="C12" t="s">
        <v>8</v>
      </c>
      <c r="D12">
        <v>78.900000000000006</v>
      </c>
      <c r="E12">
        <v>84</v>
      </c>
      <c r="F12">
        <v>22.4</v>
      </c>
      <c r="G12" s="4">
        <v>89.1</v>
      </c>
      <c r="H12">
        <v>35.700000000000003</v>
      </c>
      <c r="K12" s="13" t="s">
        <v>50</v>
      </c>
      <c r="L12" s="4" t="s">
        <v>51</v>
      </c>
      <c r="M12" s="4"/>
      <c r="N12" s="4"/>
      <c r="O12" s="4"/>
      <c r="P12" s="4"/>
      <c r="Q12" s="4"/>
    </row>
    <row r="13" spans="2:19" ht="15" thickBot="1" x14ac:dyDescent="0.4">
      <c r="B13" s="32" t="s">
        <v>18</v>
      </c>
      <c r="C13" s="26" t="s">
        <v>19</v>
      </c>
      <c r="D13" s="30">
        <v>50.9</v>
      </c>
      <c r="E13" s="26">
        <v>46</v>
      </c>
      <c r="F13" s="26">
        <v>7.2</v>
      </c>
      <c r="G13" s="26">
        <v>7.4</v>
      </c>
      <c r="H13" s="33">
        <v>90.3</v>
      </c>
      <c r="K13" s="4"/>
      <c r="L13" s="4" t="s">
        <v>52</v>
      </c>
      <c r="M13" s="4"/>
      <c r="N13" s="4"/>
      <c r="O13" s="4"/>
      <c r="P13" s="4"/>
      <c r="Q13" s="4"/>
    </row>
    <row r="14" spans="2:19" ht="15" thickBot="1" x14ac:dyDescent="0.4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K14" s="4"/>
      <c r="L14" s="16" t="s">
        <v>55</v>
      </c>
      <c r="M14" s="4"/>
      <c r="N14" s="4"/>
      <c r="O14" s="4"/>
      <c r="P14" s="4"/>
      <c r="Q14" s="4"/>
      <c r="R14" s="1" t="s">
        <v>89</v>
      </c>
      <c r="S14" s="1"/>
    </row>
    <row r="15" spans="2:19" ht="15" thickBot="1" x14ac:dyDescent="0.4">
      <c r="B15" s="32" t="s">
        <v>21</v>
      </c>
      <c r="C15" s="26" t="s">
        <v>19</v>
      </c>
      <c r="D15" s="26">
        <v>28.3</v>
      </c>
      <c r="E15" s="26">
        <v>40.4</v>
      </c>
      <c r="F15" s="26">
        <v>12.6</v>
      </c>
      <c r="G15" s="30">
        <v>43.9</v>
      </c>
      <c r="H15" s="33">
        <v>84.7</v>
      </c>
      <c r="K15" s="4"/>
      <c r="L15" s="4" t="s">
        <v>59</v>
      </c>
      <c r="M15" s="4"/>
      <c r="N15" s="4"/>
      <c r="O15" s="4"/>
      <c r="P15" s="4"/>
      <c r="Q15" s="4"/>
    </row>
    <row r="16" spans="2:19" ht="15" thickBot="1" x14ac:dyDescent="0.4">
      <c r="B16" s="32" t="s">
        <v>22</v>
      </c>
      <c r="C16" s="26" t="s">
        <v>19</v>
      </c>
      <c r="D16" s="26">
        <v>8.5</v>
      </c>
      <c r="E16" s="30">
        <v>60.3</v>
      </c>
      <c r="F16" s="26">
        <v>27.9</v>
      </c>
      <c r="G16" s="26">
        <v>31.8</v>
      </c>
      <c r="H16" s="33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ht="15" thickBot="1" x14ac:dyDescent="0.4">
      <c r="B18" s="32" t="s">
        <v>24</v>
      </c>
      <c r="C18" s="26" t="s">
        <v>25</v>
      </c>
      <c r="D18" s="26">
        <v>47.4</v>
      </c>
      <c r="E18" s="26">
        <v>72.5</v>
      </c>
      <c r="F18" s="30">
        <v>74.900000000000006</v>
      </c>
      <c r="G18" s="27">
        <v>84.3</v>
      </c>
      <c r="H18" s="31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ht="15" thickBot="1" x14ac:dyDescent="0.4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ht="15" thickBot="1" x14ac:dyDescent="0.4">
      <c r="B25" s="32" t="s">
        <v>32</v>
      </c>
      <c r="C25" s="26" t="s">
        <v>25</v>
      </c>
      <c r="D25" s="26">
        <v>3.4</v>
      </c>
      <c r="E25" s="26">
        <v>63.3</v>
      </c>
      <c r="F25" s="26">
        <v>36.200000000000003</v>
      </c>
      <c r="G25" s="27">
        <v>70.5</v>
      </c>
      <c r="H25" s="28">
        <v>63.8</v>
      </c>
    </row>
    <row r="26" spans="2:12" ht="15" thickBot="1" x14ac:dyDescent="0.4">
      <c r="B26" s="32" t="s">
        <v>33</v>
      </c>
      <c r="C26" s="26" t="s">
        <v>25</v>
      </c>
      <c r="D26" s="30">
        <v>57.9</v>
      </c>
      <c r="E26" s="26">
        <v>50.4</v>
      </c>
      <c r="F26" s="26">
        <v>5.0999999999999996</v>
      </c>
      <c r="G26" s="27">
        <v>63.4</v>
      </c>
      <c r="H26" s="31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ht="15" thickBot="1" x14ac:dyDescent="0.4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ht="15" thickBot="1" x14ac:dyDescent="0.4">
      <c r="B29" s="32" t="s">
        <v>36</v>
      </c>
      <c r="C29" s="26" t="s">
        <v>25</v>
      </c>
      <c r="D29" s="26">
        <v>15.6</v>
      </c>
      <c r="E29" s="27">
        <v>77.599999999999994</v>
      </c>
      <c r="F29" s="26">
        <v>24.3</v>
      </c>
      <c r="G29" s="26">
        <v>5.3</v>
      </c>
      <c r="H29" s="28">
        <v>53.5</v>
      </c>
    </row>
    <row r="30" spans="2:12" ht="15" thickBot="1" x14ac:dyDescent="0.4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ht="15" thickBot="1" x14ac:dyDescent="0.4">
      <c r="B31" s="32" t="s">
        <v>38</v>
      </c>
      <c r="C31" s="26" t="s">
        <v>25</v>
      </c>
      <c r="D31" s="26">
        <v>5.0999999999999996</v>
      </c>
      <c r="E31" s="26">
        <v>9.9</v>
      </c>
      <c r="F31" s="26">
        <v>60.4</v>
      </c>
      <c r="G31" s="27">
        <v>85.5</v>
      </c>
      <c r="H31" s="28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52A9E-0EE5-44A0-960E-9E1CD6B00E9D}">
  <dimension ref="B2:R31"/>
  <sheetViews>
    <sheetView topLeftCell="D1" zoomScale="92" zoomScaleNormal="130" workbookViewId="0">
      <selection activeCell="P14" sqref="P14"/>
    </sheetView>
  </sheetViews>
  <sheetFormatPr defaultRowHeight="14.5" x14ac:dyDescent="0.35"/>
  <cols>
    <col min="2" max="2" width="9.08984375" bestFit="1" customWidth="1"/>
    <col min="3" max="3" width="14.7265625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8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8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8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8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8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8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8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8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8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72" t="s">
        <v>53</v>
      </c>
      <c r="M11" s="72"/>
      <c r="N11" s="72"/>
      <c r="O11" s="72"/>
      <c r="P11" s="72"/>
      <c r="Q11" s="72"/>
    </row>
    <row r="12" spans="2:18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8" x14ac:dyDescent="0.35">
      <c r="B13" t="s">
        <v>18</v>
      </c>
      <c r="C13" t="s">
        <v>19</v>
      </c>
      <c r="D13" s="14">
        <v>50.9</v>
      </c>
      <c r="E13" s="13">
        <v>46</v>
      </c>
      <c r="F13">
        <v>7.2</v>
      </c>
      <c r="G13">
        <v>7.4</v>
      </c>
      <c r="H13" s="14">
        <v>90.3</v>
      </c>
      <c r="L13" t="s">
        <v>52</v>
      </c>
    </row>
    <row r="14" spans="2:18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55</v>
      </c>
      <c r="P14" s="1" t="s">
        <v>89</v>
      </c>
    </row>
    <row r="15" spans="2:18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L15" t="s">
        <v>59</v>
      </c>
      <c r="N15" s="1"/>
      <c r="O15" s="1"/>
      <c r="P15" s="1"/>
      <c r="Q15" s="1"/>
      <c r="R15" s="1"/>
    </row>
    <row r="16" spans="2:18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s="13" t="s">
        <v>54</v>
      </c>
      <c r="L16" s="13" t="s">
        <v>59</v>
      </c>
      <c r="M16" s="13"/>
      <c r="N16" s="13"/>
      <c r="O16" s="13"/>
      <c r="P16" s="13"/>
      <c r="Q16" s="13"/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61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 s="13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0E5D6-7A76-4E6F-A0DD-59D4DB683A8B}">
  <dimension ref="B2:T31"/>
  <sheetViews>
    <sheetView zoomScaleNormal="100" workbookViewId="0">
      <selection activeCell="H15" sqref="H15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5.1796875" customWidth="1"/>
    <col min="5" max="5" width="4.36328125" customWidth="1"/>
    <col min="6" max="6" width="14.453125" customWidth="1"/>
    <col min="7" max="7" width="17.1796875" customWidth="1"/>
    <col min="8" max="8" width="13.36328125" customWidth="1"/>
    <col min="9" max="9" width="4.6328125" customWidth="1"/>
    <col min="11" max="11" width="15.26953125" bestFit="1" customWidth="1"/>
    <col min="12" max="12" width="14.816406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1.453125" bestFit="1" customWidth="1"/>
    <col min="20" max="20" width="14.26953125" customWidth="1"/>
  </cols>
  <sheetData>
    <row r="2" spans="2:20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J2" s="10" t="s">
        <v>0</v>
      </c>
      <c r="K2" s="10" t="s">
        <v>1</v>
      </c>
      <c r="L2" s="10" t="s">
        <v>4</v>
      </c>
      <c r="N2" s="10" t="s">
        <v>0</v>
      </c>
      <c r="O2" s="10" t="s">
        <v>1</v>
      </c>
      <c r="P2" s="10" t="s">
        <v>5</v>
      </c>
      <c r="R2" s="10" t="s">
        <v>0</v>
      </c>
      <c r="S2" s="10" t="s">
        <v>1</v>
      </c>
      <c r="T2" s="10" t="s">
        <v>6</v>
      </c>
    </row>
    <row r="3" spans="2:20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J3" t="s">
        <v>10</v>
      </c>
      <c r="K3" t="s">
        <v>8</v>
      </c>
      <c r="L3" s="4">
        <v>95.3</v>
      </c>
      <c r="N3" t="s">
        <v>17</v>
      </c>
      <c r="O3" t="s">
        <v>8</v>
      </c>
      <c r="P3" s="4">
        <v>89.1</v>
      </c>
      <c r="R3" t="s">
        <v>38</v>
      </c>
      <c r="S3" t="s">
        <v>25</v>
      </c>
      <c r="T3" s="4">
        <v>95.9</v>
      </c>
    </row>
    <row r="4" spans="2:20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J4" t="s">
        <v>9</v>
      </c>
      <c r="K4" t="s">
        <v>8</v>
      </c>
      <c r="L4" s="4">
        <v>91</v>
      </c>
      <c r="N4" t="s">
        <v>14</v>
      </c>
      <c r="O4" t="s">
        <v>8</v>
      </c>
      <c r="P4" s="4">
        <v>76.400000000000006</v>
      </c>
      <c r="R4" t="s">
        <v>31</v>
      </c>
      <c r="S4" t="s">
        <v>25</v>
      </c>
      <c r="T4" s="4">
        <v>91.7</v>
      </c>
    </row>
    <row r="5" spans="2:20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J5" t="s">
        <v>15</v>
      </c>
      <c r="K5" t="s">
        <v>8</v>
      </c>
      <c r="L5" s="4">
        <v>87.1</v>
      </c>
      <c r="N5" t="s">
        <v>21</v>
      </c>
      <c r="O5" t="s">
        <v>19</v>
      </c>
      <c r="P5" s="4">
        <v>43.9</v>
      </c>
      <c r="R5" t="s">
        <v>32</v>
      </c>
      <c r="S5" t="s">
        <v>25</v>
      </c>
      <c r="T5" s="4">
        <v>63.8</v>
      </c>
    </row>
    <row r="6" spans="2:20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J6" t="s">
        <v>12</v>
      </c>
      <c r="K6" t="s">
        <v>8</v>
      </c>
      <c r="L6" s="4">
        <v>54.9</v>
      </c>
      <c r="N6" t="s">
        <v>28</v>
      </c>
      <c r="O6" t="s">
        <v>25</v>
      </c>
      <c r="P6" s="4">
        <v>96.9</v>
      </c>
      <c r="R6" t="s">
        <v>36</v>
      </c>
      <c r="S6" t="s">
        <v>25</v>
      </c>
      <c r="T6" s="4">
        <v>53.5</v>
      </c>
    </row>
    <row r="7" spans="2:20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J7" t="s">
        <v>23</v>
      </c>
      <c r="K7" t="s">
        <v>19</v>
      </c>
      <c r="L7" s="4">
        <v>73.3</v>
      </c>
      <c r="R7" t="s">
        <v>37</v>
      </c>
      <c r="S7" t="s">
        <v>25</v>
      </c>
      <c r="T7" s="4">
        <v>31.9</v>
      </c>
    </row>
    <row r="8" spans="2:20" x14ac:dyDescent="0.35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J8" t="s">
        <v>27</v>
      </c>
      <c r="K8" t="s">
        <v>25</v>
      </c>
      <c r="L8" s="4">
        <v>86</v>
      </c>
    </row>
    <row r="9" spans="2:20" x14ac:dyDescent="0.35">
      <c r="J9" t="s">
        <v>24</v>
      </c>
      <c r="K9" t="s">
        <v>25</v>
      </c>
      <c r="L9" s="4">
        <v>74.900000000000006</v>
      </c>
    </row>
    <row r="10" spans="2:20" x14ac:dyDescent="0.35">
      <c r="J10" t="s">
        <v>35</v>
      </c>
      <c r="K10" t="s">
        <v>25</v>
      </c>
      <c r="L10" s="4">
        <v>64.900000000000006</v>
      </c>
    </row>
    <row r="16" spans="2:20" x14ac:dyDescent="0.35">
      <c r="F16" t="s">
        <v>39</v>
      </c>
      <c r="G16" t="s">
        <v>41</v>
      </c>
      <c r="H16" t="s">
        <v>40</v>
      </c>
      <c r="I16" s="12" t="s">
        <v>48</v>
      </c>
    </row>
    <row r="17" spans="5:13" x14ac:dyDescent="0.35">
      <c r="E17" t="s">
        <v>42</v>
      </c>
      <c r="F17">
        <v>2</v>
      </c>
      <c r="G17">
        <v>1</v>
      </c>
      <c r="H17">
        <v>3</v>
      </c>
      <c r="I17" s="12">
        <v>6</v>
      </c>
    </row>
    <row r="18" spans="5:13" x14ac:dyDescent="0.35">
      <c r="E18" t="s">
        <v>43</v>
      </c>
      <c r="F18">
        <v>2</v>
      </c>
      <c r="G18">
        <v>2</v>
      </c>
      <c r="H18">
        <v>2</v>
      </c>
      <c r="I18" s="12">
        <v>6</v>
      </c>
    </row>
    <row r="19" spans="5:13" x14ac:dyDescent="0.35">
      <c r="E19" t="s">
        <v>44</v>
      </c>
      <c r="F19">
        <v>4</v>
      </c>
      <c r="G19">
        <v>1</v>
      </c>
      <c r="H19">
        <v>3</v>
      </c>
      <c r="I19" s="12">
        <v>8</v>
      </c>
    </row>
    <row r="20" spans="5:13" x14ac:dyDescent="0.35">
      <c r="E20" t="s">
        <v>45</v>
      </c>
      <c r="F20">
        <v>2</v>
      </c>
      <c r="G20">
        <v>1</v>
      </c>
      <c r="H20">
        <v>1</v>
      </c>
      <c r="I20" s="12">
        <v>4</v>
      </c>
    </row>
    <row r="21" spans="5:13" x14ac:dyDescent="0.35">
      <c r="E21" t="s">
        <v>46</v>
      </c>
      <c r="F21">
        <v>0</v>
      </c>
      <c r="G21">
        <v>0</v>
      </c>
      <c r="H21">
        <v>5</v>
      </c>
      <c r="I21" s="12">
        <v>5</v>
      </c>
    </row>
    <row r="22" spans="5:13" ht="15" thickBot="1" x14ac:dyDescent="0.4">
      <c r="E22" s="11" t="s">
        <v>47</v>
      </c>
      <c r="F22" s="11">
        <v>10</v>
      </c>
      <c r="G22" s="11">
        <v>5</v>
      </c>
      <c r="H22" s="11">
        <v>14</v>
      </c>
    </row>
    <row r="23" spans="5:13" ht="15" thickTop="1" x14ac:dyDescent="0.35"/>
    <row r="25" spans="5:13" x14ac:dyDescent="0.35">
      <c r="E25" t="s">
        <v>49</v>
      </c>
      <c r="F25" s="72" t="s">
        <v>53</v>
      </c>
      <c r="G25" s="72"/>
      <c r="H25" s="72"/>
      <c r="I25" s="72"/>
      <c r="J25" s="72"/>
      <c r="K25" s="72"/>
    </row>
    <row r="26" spans="5:13" x14ac:dyDescent="0.35">
      <c r="E26" t="s">
        <v>50</v>
      </c>
      <c r="F26" t="s">
        <v>51</v>
      </c>
    </row>
    <row r="27" spans="5:13" x14ac:dyDescent="0.35">
      <c r="F27" t="s">
        <v>52</v>
      </c>
      <c r="M27">
        <v>2</v>
      </c>
    </row>
    <row r="28" spans="5:13" x14ac:dyDescent="0.35">
      <c r="F28" s="18" t="s">
        <v>55</v>
      </c>
    </row>
    <row r="29" spans="5:13" x14ac:dyDescent="0.35">
      <c r="F29" t="s">
        <v>59</v>
      </c>
      <c r="H29" s="1"/>
      <c r="I29" s="1"/>
      <c r="J29" s="1"/>
      <c r="K29" s="1"/>
    </row>
    <row r="30" spans="5:13" x14ac:dyDescent="0.35">
      <c r="E30" t="s">
        <v>54</v>
      </c>
      <c r="F30" t="s">
        <v>59</v>
      </c>
    </row>
    <row r="31" spans="5:13" x14ac:dyDescent="0.35">
      <c r="E31" s="13" t="s">
        <v>56</v>
      </c>
      <c r="F31" s="13" t="s">
        <v>61</v>
      </c>
      <c r="G31" s="13"/>
      <c r="H31" s="13"/>
      <c r="I31" s="13"/>
    </row>
  </sheetData>
  <mergeCells count="1">
    <mergeCell ref="F25:K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7-467B-4C0E-80CF-614790AC94F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5ADE-03D3-4D0A-807B-37E1A793A03E}">
  <dimension ref="B3:AE12"/>
  <sheetViews>
    <sheetView workbookViewId="0">
      <selection activeCell="D13" sqref="D13"/>
    </sheetView>
  </sheetViews>
  <sheetFormatPr defaultRowHeight="14.5" x14ac:dyDescent="0.35"/>
  <cols>
    <col min="2" max="2" width="11.453125" bestFit="1" customWidth="1"/>
    <col min="3" max="12" width="11.7265625" bestFit="1" customWidth="1"/>
    <col min="13" max="17" width="15.26953125" bestFit="1" customWidth="1"/>
  </cols>
  <sheetData>
    <row r="3" spans="2:31" x14ac:dyDescent="0.35">
      <c r="B3" s="2" t="s">
        <v>0</v>
      </c>
      <c r="C3" t="s">
        <v>7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20</v>
      </c>
      <c r="O3" t="s">
        <v>21</v>
      </c>
      <c r="P3" t="s">
        <v>22</v>
      </c>
      <c r="Q3" t="s">
        <v>23</v>
      </c>
      <c r="R3" t="s">
        <v>24</v>
      </c>
      <c r="S3" t="s">
        <v>26</v>
      </c>
      <c r="T3" t="s">
        <v>27</v>
      </c>
      <c r="U3" t="s">
        <v>28</v>
      </c>
      <c r="V3" t="s">
        <v>29</v>
      </c>
      <c r="W3" t="s">
        <v>30</v>
      </c>
      <c r="X3" t="s">
        <v>31</v>
      </c>
      <c r="Y3" t="s">
        <v>32</v>
      </c>
      <c r="Z3" t="s">
        <v>33</v>
      </c>
      <c r="AA3" t="s">
        <v>34</v>
      </c>
      <c r="AB3" t="s">
        <v>35</v>
      </c>
      <c r="AC3" t="s">
        <v>36</v>
      </c>
      <c r="AD3" t="s">
        <v>37</v>
      </c>
      <c r="AE3" t="s">
        <v>38</v>
      </c>
    </row>
    <row r="4" spans="2:31" x14ac:dyDescent="0.35">
      <c r="B4" s="2" t="s">
        <v>1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19</v>
      </c>
      <c r="N4" t="s">
        <v>19</v>
      </c>
      <c r="O4" t="s">
        <v>19</v>
      </c>
      <c r="P4" t="s">
        <v>19</v>
      </c>
      <c r="Q4" t="s">
        <v>19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</row>
    <row r="5" spans="2:31" x14ac:dyDescent="0.35">
      <c r="B5" s="2" t="s">
        <v>6</v>
      </c>
      <c r="C5" s="8">
        <v>84</v>
      </c>
      <c r="D5">
        <v>79.8</v>
      </c>
      <c r="E5">
        <v>57.9</v>
      </c>
      <c r="F5">
        <v>31.2</v>
      </c>
      <c r="G5" s="8">
        <v>65</v>
      </c>
      <c r="H5">
        <v>43.2</v>
      </c>
      <c r="I5">
        <v>8.6</v>
      </c>
      <c r="J5">
        <v>30.2</v>
      </c>
      <c r="K5">
        <v>22.2</v>
      </c>
      <c r="L5">
        <v>35.700000000000003</v>
      </c>
      <c r="M5" s="8">
        <v>90.3</v>
      </c>
      <c r="N5">
        <v>19.7</v>
      </c>
      <c r="O5" s="8">
        <v>84.7</v>
      </c>
      <c r="P5" s="8">
        <v>66.7</v>
      </c>
      <c r="Q5">
        <v>36.1</v>
      </c>
      <c r="R5">
        <v>18.899999999999999</v>
      </c>
      <c r="S5">
        <v>89.7</v>
      </c>
      <c r="T5">
        <v>54.7</v>
      </c>
      <c r="U5">
        <v>28.7</v>
      </c>
      <c r="V5">
        <v>46.3</v>
      </c>
      <c r="W5">
        <v>41.7</v>
      </c>
      <c r="X5" s="7">
        <v>91.7</v>
      </c>
      <c r="Y5" s="7">
        <v>63.8</v>
      </c>
      <c r="Z5">
        <v>4.8</v>
      </c>
      <c r="AA5">
        <v>29.2</v>
      </c>
      <c r="AB5">
        <v>7.1</v>
      </c>
      <c r="AC5" s="7">
        <v>53.5</v>
      </c>
      <c r="AD5" s="7">
        <v>31.9</v>
      </c>
      <c r="AE5" s="7">
        <v>95.9</v>
      </c>
    </row>
    <row r="6" spans="2:31" x14ac:dyDescent="0.35">
      <c r="B6" s="2" t="s">
        <v>3</v>
      </c>
      <c r="C6" s="4">
        <v>83.4</v>
      </c>
      <c r="D6">
        <v>83</v>
      </c>
      <c r="E6">
        <v>33.200000000000003</v>
      </c>
      <c r="F6">
        <v>84.4</v>
      </c>
      <c r="G6">
        <v>1.3</v>
      </c>
      <c r="H6" s="4">
        <v>84.7</v>
      </c>
      <c r="I6">
        <v>16.8</v>
      </c>
      <c r="J6">
        <v>24.1</v>
      </c>
      <c r="K6">
        <v>64.900000000000006</v>
      </c>
      <c r="L6">
        <v>84</v>
      </c>
      <c r="M6" s="4">
        <v>46</v>
      </c>
      <c r="N6">
        <v>52.8</v>
      </c>
      <c r="O6">
        <v>40.4</v>
      </c>
      <c r="P6" s="4">
        <v>60.3</v>
      </c>
      <c r="Q6">
        <v>45</v>
      </c>
      <c r="R6">
        <v>72.5</v>
      </c>
      <c r="S6" s="4">
        <v>99</v>
      </c>
      <c r="T6">
        <v>20.9</v>
      </c>
      <c r="U6">
        <v>22.8</v>
      </c>
      <c r="V6">
        <v>4.8</v>
      </c>
      <c r="W6">
        <v>5.9</v>
      </c>
      <c r="X6" s="8">
        <v>71.5</v>
      </c>
      <c r="Y6">
        <v>63.3</v>
      </c>
      <c r="Z6">
        <v>50.4</v>
      </c>
      <c r="AA6" s="4">
        <v>95.8</v>
      </c>
      <c r="AB6" s="8">
        <v>93.3</v>
      </c>
      <c r="AC6" s="8">
        <v>77.599999999999994</v>
      </c>
      <c r="AD6">
        <v>13.3</v>
      </c>
      <c r="AE6">
        <v>9.9</v>
      </c>
    </row>
    <row r="7" spans="2:31" x14ac:dyDescent="0.35">
      <c r="B7" s="2" t="s">
        <v>2</v>
      </c>
      <c r="C7">
        <v>68.8</v>
      </c>
      <c r="D7">
        <v>69.2</v>
      </c>
      <c r="E7">
        <v>19.8</v>
      </c>
      <c r="F7" s="3">
        <v>98.5</v>
      </c>
      <c r="G7">
        <v>39.6</v>
      </c>
      <c r="H7">
        <v>67.900000000000006</v>
      </c>
      <c r="I7">
        <v>44.5</v>
      </c>
      <c r="J7">
        <v>46.3</v>
      </c>
      <c r="K7" s="3">
        <v>96.8</v>
      </c>
      <c r="L7">
        <v>78.900000000000006</v>
      </c>
      <c r="M7" s="8">
        <v>50.9</v>
      </c>
      <c r="N7" s="3">
        <v>76.7</v>
      </c>
      <c r="O7">
        <v>28.3</v>
      </c>
      <c r="P7">
        <v>8.5</v>
      </c>
      <c r="Q7">
        <v>14.3</v>
      </c>
      <c r="R7">
        <v>47.4</v>
      </c>
      <c r="S7">
        <v>58.9</v>
      </c>
      <c r="T7">
        <v>55.1</v>
      </c>
      <c r="U7">
        <v>16.3</v>
      </c>
      <c r="V7" s="3">
        <v>83.9</v>
      </c>
      <c r="W7" s="3">
        <v>70</v>
      </c>
      <c r="X7">
        <v>52.5</v>
      </c>
      <c r="Y7">
        <v>3.4</v>
      </c>
      <c r="Z7" s="3">
        <v>57.9</v>
      </c>
      <c r="AA7">
        <v>93.4</v>
      </c>
      <c r="AB7">
        <v>33.799999999999997</v>
      </c>
      <c r="AC7">
        <v>15.6</v>
      </c>
      <c r="AD7">
        <v>17.2</v>
      </c>
      <c r="AE7">
        <v>5.0999999999999996</v>
      </c>
    </row>
    <row r="8" spans="2:31" x14ac:dyDescent="0.35">
      <c r="B8" s="2" t="s">
        <v>5</v>
      </c>
      <c r="C8">
        <v>38.200000000000003</v>
      </c>
      <c r="D8">
        <v>56.2</v>
      </c>
      <c r="E8">
        <v>12.4</v>
      </c>
      <c r="F8">
        <v>83</v>
      </c>
      <c r="G8">
        <v>26.3</v>
      </c>
      <c r="H8">
        <v>21.3</v>
      </c>
      <c r="I8" s="6">
        <v>76.400000000000006</v>
      </c>
      <c r="J8">
        <v>47.8</v>
      </c>
      <c r="K8">
        <v>78.8</v>
      </c>
      <c r="L8" s="6">
        <v>89.1</v>
      </c>
      <c r="M8">
        <v>7.4</v>
      </c>
      <c r="N8">
        <v>0.7</v>
      </c>
      <c r="O8" s="6">
        <v>43.9</v>
      </c>
      <c r="P8">
        <v>31.8</v>
      </c>
      <c r="Q8">
        <v>51.8</v>
      </c>
      <c r="R8" s="8">
        <v>84.3</v>
      </c>
      <c r="S8">
        <v>57.6</v>
      </c>
      <c r="T8">
        <v>77.8</v>
      </c>
      <c r="U8" s="6">
        <v>96.9</v>
      </c>
      <c r="V8">
        <v>58.1</v>
      </c>
      <c r="W8">
        <v>18.399999999999999</v>
      </c>
      <c r="X8">
        <v>70.3</v>
      </c>
      <c r="Y8" s="8">
        <v>70.5</v>
      </c>
      <c r="Z8" s="8">
        <v>63.4</v>
      </c>
      <c r="AA8">
        <v>81.599999999999994</v>
      </c>
      <c r="AB8">
        <v>63.2</v>
      </c>
      <c r="AC8">
        <v>5.3</v>
      </c>
      <c r="AD8">
        <v>31.2</v>
      </c>
      <c r="AE8" s="8">
        <v>85.5</v>
      </c>
    </row>
    <row r="9" spans="2:31" x14ac:dyDescent="0.35">
      <c r="B9" s="2" t="s">
        <v>4</v>
      </c>
      <c r="C9">
        <v>19.8</v>
      </c>
      <c r="D9" s="5">
        <v>91</v>
      </c>
      <c r="E9" s="5">
        <v>95.3</v>
      </c>
      <c r="F9">
        <v>7.2</v>
      </c>
      <c r="G9" s="5">
        <v>54.9</v>
      </c>
      <c r="H9">
        <v>35.700000000000003</v>
      </c>
      <c r="I9">
        <v>73.099999999999994</v>
      </c>
      <c r="J9" s="5">
        <v>87.1</v>
      </c>
      <c r="K9">
        <v>7</v>
      </c>
      <c r="L9">
        <v>22.4</v>
      </c>
      <c r="M9">
        <v>7.2</v>
      </c>
      <c r="N9">
        <v>1.3</v>
      </c>
      <c r="O9">
        <v>12.6</v>
      </c>
      <c r="P9">
        <v>27.9</v>
      </c>
      <c r="Q9" s="5">
        <v>73.3</v>
      </c>
      <c r="R9" s="5">
        <v>74.900000000000006</v>
      </c>
      <c r="S9">
        <v>92.4</v>
      </c>
      <c r="T9" s="5">
        <v>86</v>
      </c>
      <c r="U9">
        <v>82</v>
      </c>
      <c r="V9">
        <v>70.2</v>
      </c>
      <c r="W9">
        <v>26.7</v>
      </c>
      <c r="X9">
        <v>7</v>
      </c>
      <c r="Y9">
        <v>36.200000000000003</v>
      </c>
      <c r="Z9">
        <v>5.0999999999999996</v>
      </c>
      <c r="AA9">
        <v>58.4</v>
      </c>
      <c r="AB9" s="5">
        <v>64.900000000000006</v>
      </c>
      <c r="AC9">
        <v>24.3</v>
      </c>
      <c r="AD9" s="8">
        <v>48.1</v>
      </c>
      <c r="AE9">
        <v>60.4</v>
      </c>
    </row>
    <row r="10" spans="2:31" x14ac:dyDescent="0.35">
      <c r="B10" s="1"/>
      <c r="C10" s="8"/>
      <c r="G10" s="8"/>
      <c r="M10" s="8"/>
      <c r="O10" s="8"/>
      <c r="P10" s="8"/>
    </row>
    <row r="11" spans="2:31" x14ac:dyDescent="0.35">
      <c r="B11" s="1"/>
      <c r="C11" s="8"/>
      <c r="G11" s="8"/>
      <c r="M11" s="8"/>
      <c r="O11" s="8"/>
      <c r="P11" s="8"/>
    </row>
    <row r="12" spans="2:31" x14ac:dyDescent="0.35">
      <c r="B12" s="1"/>
      <c r="C12" s="8"/>
      <c r="G12" s="8"/>
      <c r="M12" s="8"/>
      <c r="O12" s="8"/>
      <c r="P12" s="8"/>
    </row>
  </sheetData>
  <autoFilter ref="B3:AE12" xr:uid="{24775ADE-03D3-4D0A-807B-37E1A793A03E}">
    <sortState xmlns:xlrd2="http://schemas.microsoft.com/office/spreadsheetml/2017/richdata2" ref="B4:AE12">
      <sortCondition descending="1" ref="C3:C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Obs-flowchart</vt:lpstr>
      <vt:lpstr>Obs - Overview</vt:lpstr>
      <vt:lpstr>Overview</vt:lpstr>
      <vt:lpstr>Overview draft</vt:lpstr>
      <vt:lpstr>Draft</vt:lpstr>
      <vt:lpstr>Flowchart</vt:lpstr>
      <vt:lpstr>Cluster Info</vt:lpstr>
      <vt:lpstr>Stage 1</vt:lpstr>
      <vt:lpstr>Stage 2</vt:lpstr>
      <vt:lpstr>Stage 3</vt:lpstr>
      <vt:lpstr>Stage 4</vt:lpstr>
      <vt:lpstr>NEW METHODE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2026-07-20T07:28:55Z</dcterms:created>
  <dcterms:modified xsi:type="dcterms:W3CDTF">2026-07-29T09:22:11Z</dcterms:modified>
</cp:coreProperties>
</file>