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tisyaziyah\source\repos\DeviceCluster\1.training_model\supplementary\"/>
    </mc:Choice>
  </mc:AlternateContent>
  <xr:revisionPtr revIDLastSave="0" documentId="13_ncr:1_{EAD0E266-0574-4133-946C-BC5074C83765}" xr6:coauthVersionLast="47" xr6:coauthVersionMax="47" xr10:uidLastSave="{00000000-0000-0000-0000-000000000000}"/>
  <bookViews>
    <workbookView xWindow="28680" yWindow="-120" windowWidth="29040" windowHeight="15720" tabRatio="717" activeTab="5" xr2:uid="{E471D6E3-533D-4285-ABDC-6FF3DFDEE99D}"/>
  </bookViews>
  <sheets>
    <sheet name="Cluster INFO" sheetId="11" r:id="rId1"/>
    <sheet name="Stage 1" sheetId="4" r:id="rId2"/>
    <sheet name="Stage 2" sheetId="6" r:id="rId3"/>
    <sheet name="Stage 3" sheetId="7" r:id="rId4"/>
    <sheet name="Stage 4" sheetId="8" r:id="rId5"/>
    <sheet name="Stage 4 (2)" sheetId="13" r:id="rId6"/>
    <sheet name="Example case" sheetId="12" r:id="rId7"/>
    <sheet name="transpose" sheetId="3" state="hidden" r:id="rId8"/>
  </sheets>
  <definedNames>
    <definedName name="_xlnm._FilterDatabase" localSheetId="1" hidden="1">'Stage 1'!$B$2:$H$31</definedName>
    <definedName name="_xlnm._FilterDatabase" localSheetId="2" hidden="1">'Stage 2'!$B$2:$H$31</definedName>
    <definedName name="_xlnm._FilterDatabase" localSheetId="3" hidden="1">'Stage 3'!$B$2:$H$31</definedName>
    <definedName name="_xlnm._FilterDatabase" localSheetId="4" hidden="1">'Stage 4'!#REF!</definedName>
    <definedName name="_xlnm._FilterDatabase" localSheetId="5" hidden="1">'Stage 4 (2)'!#REF!</definedName>
    <definedName name="_xlnm._FilterDatabase" localSheetId="7" hidden="1">transpose!$B$3:$AE$12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1" l="1"/>
</calcChain>
</file>

<file path=xl/sharedStrings.xml><?xml version="1.0" encoding="utf-8"?>
<sst xmlns="http://schemas.openxmlformats.org/spreadsheetml/2006/main" count="547" uniqueCount="63">
  <si>
    <t>Device ID</t>
  </si>
  <si>
    <t>Device Type</t>
  </si>
  <si>
    <t>CLUSTER 1</t>
  </si>
  <si>
    <t>CLUSTER 2</t>
  </si>
  <si>
    <t>CLUSTER 3</t>
  </si>
  <si>
    <t>CLUSTER 4</t>
  </si>
  <si>
    <t>CLUSTER 5</t>
  </si>
  <si>
    <t>CV04ST1</t>
  </si>
  <si>
    <t>Control valve</t>
  </si>
  <si>
    <t>CV04ST10</t>
  </si>
  <si>
    <t>CV04ST2</t>
  </si>
  <si>
    <t>CV04ST3</t>
  </si>
  <si>
    <t>CV04ST4</t>
  </si>
  <si>
    <t>CV04ST5</t>
  </si>
  <si>
    <t>CV04ST6</t>
  </si>
  <si>
    <t>CV04ST7</t>
  </si>
  <si>
    <t>CV04ST8</t>
  </si>
  <si>
    <t>CV04ST9</t>
  </si>
  <si>
    <t>HLA411</t>
  </si>
  <si>
    <t>High Level Switch</t>
  </si>
  <si>
    <t>HLA412</t>
  </si>
  <si>
    <t>HLA413</t>
  </si>
  <si>
    <t>HLA414</t>
  </si>
  <si>
    <t>HLA415</t>
  </si>
  <si>
    <t>VP1</t>
  </si>
  <si>
    <t>Pump</t>
  </si>
  <si>
    <t>VP10</t>
  </si>
  <si>
    <t>VP11</t>
  </si>
  <si>
    <t>VP12</t>
  </si>
  <si>
    <t>VP13</t>
  </si>
  <si>
    <t>VP14</t>
  </si>
  <si>
    <t>VP2</t>
  </si>
  <si>
    <t>VP3</t>
  </si>
  <si>
    <t>VP4</t>
  </si>
  <si>
    <t>VP5</t>
  </si>
  <si>
    <t>VP6</t>
  </si>
  <si>
    <t>VP7</t>
  </si>
  <si>
    <t>VP8</t>
  </si>
  <si>
    <t>VP9</t>
  </si>
  <si>
    <t>CONTROL VALVE</t>
  </si>
  <si>
    <t>PUMP</t>
  </si>
  <si>
    <t>HIGH LEVEL SWITCH</t>
  </si>
  <si>
    <t>Cluster 1</t>
  </si>
  <si>
    <t>Cluster 2</t>
  </si>
  <si>
    <t>Cluster 3</t>
  </si>
  <si>
    <t>Cluster 4</t>
  </si>
  <si>
    <t>Cluster 5</t>
  </si>
  <si>
    <t>TOTAL</t>
  </si>
  <si>
    <t>sum</t>
  </si>
  <si>
    <t>STAGE 1</t>
  </si>
  <si>
    <t>STAGE 2</t>
  </si>
  <si>
    <t>Check CLUSTER capacity</t>
  </si>
  <si>
    <t>Is the Selected Cluster Full?</t>
  </si>
  <si>
    <t>Mark the highest prediction for each device id</t>
  </si>
  <si>
    <t>STAGE 3</t>
  </si>
  <si>
    <t>Cluster Full ? = NO : Assign Device to the Selected Cluster</t>
  </si>
  <si>
    <t>STAGE 4</t>
  </si>
  <si>
    <t>FLOWCHART</t>
  </si>
  <si>
    <t>CLUSTER FORMATION</t>
  </si>
  <si>
    <t>Cluster Full?  = YES : Move DEVICE_ID with the low % into subsequent highest cluster</t>
  </si>
  <si>
    <t>Catagorize Device Id by each cluster group</t>
  </si>
  <si>
    <t>Catagorize Device Id by each  cluster group</t>
  </si>
  <si>
    <t>Catagorize Device ID by each  cluster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</si>
</sst>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0" borderId="0" xfId="0" applyFont="1"/>
    <xf numFmtId="0" fontId="0" fillId="0" borderId="1" xfId="0" applyBorder="1"/>
    <xf numFmtId="0" fontId="1" fillId="2" borderId="0" xfId="0" applyFont="1" applyFill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0" xfId="0" applyFont="1" applyFill="1"/>
    <xf numFmtId="0" fontId="2" fillId="5" borderId="0" xfId="0" applyFont="1" applyFill="1"/>
    <xf numFmtId="0" fontId="0" fillId="0" borderId="0" xfId="0" applyAlignment="1">
      <alignment horizontal="center"/>
    </xf>
    <xf numFmtId="0" fontId="0" fillId="4" borderId="0" xfId="0" applyFill="1" applyAlignment="1">
      <alignment vertical="center"/>
    </xf>
    <xf numFmtId="0" fontId="0" fillId="4" borderId="1" xfId="0" applyFill="1" applyBorder="1"/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499242</xdr:colOff>
      <xdr:row>7</xdr:row>
      <xdr:rowOff>123519</xdr:rowOff>
    </xdr:from>
    <xdr:to>
      <xdr:col>11</xdr:col>
      <xdr:colOff>160338</xdr:colOff>
      <xdr:row>10</xdr:row>
      <xdr:rowOff>101929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9ACE8BA-C2C4-4696-98BE-AA0855AB6578}"/>
            </a:ext>
          </a:extLst>
        </xdr:cNvPr>
        <xdr:cNvSpPr/>
      </xdr:nvSpPr>
      <xdr:spPr>
        <a:xfrm>
          <a:off x="6746328" y="1411036"/>
          <a:ext cx="2104751" cy="543341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2 : </a:t>
          </a:r>
        </a:p>
        <a:p>
          <a:pPr algn="l"/>
          <a:r>
            <a:rPr lang="en-MY"/>
            <a:t>Check if the selected cluster is full</a:t>
          </a:r>
          <a:endParaRPr lang="en-GB" sz="1100"/>
        </a:p>
      </xdr:txBody>
    </xdr:sp>
    <xdr:clientData/>
  </xdr:twoCellAnchor>
  <xdr:twoCellAnchor>
    <xdr:from>
      <xdr:col>11</xdr:col>
      <xdr:colOff>160338</xdr:colOff>
      <xdr:row>8</xdr:row>
      <xdr:rowOff>168808</xdr:rowOff>
    </xdr:from>
    <xdr:to>
      <xdr:col>15</xdr:col>
      <xdr:colOff>371346</xdr:colOff>
      <xdr:row>9</xdr:row>
      <xdr:rowOff>20759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8CBFA1D-BCA7-48CA-AC5D-35E90DB26ADA}"/>
            </a:ext>
          </a:extLst>
        </xdr:cNvPr>
        <xdr:cNvCxnSpPr>
          <a:stCxn id="2" idx="3"/>
          <a:endCxn id="4" idx="1"/>
        </xdr:cNvCxnSpPr>
      </xdr:nvCxnSpPr>
      <xdr:spPr>
        <a:xfrm flipV="1">
          <a:off x="8851079" y="1640256"/>
          <a:ext cx="2654664" cy="4245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374521</xdr:colOff>
      <xdr:row>7</xdr:row>
      <xdr:rowOff>48816</xdr:rowOff>
    </xdr:from>
    <xdr:to>
      <xdr:col>18</xdr:col>
      <xdr:colOff>579674</xdr:colOff>
      <xdr:row>10</xdr:row>
      <xdr:rowOff>94906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369CE89-687B-49E4-8342-6C958772E9D2}"/>
            </a:ext>
          </a:extLst>
        </xdr:cNvPr>
        <xdr:cNvSpPr/>
      </xdr:nvSpPr>
      <xdr:spPr>
        <a:xfrm>
          <a:off x="11490196" y="1315641"/>
          <a:ext cx="2033953" cy="60806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Stage 3 : </a:t>
          </a:r>
        </a:p>
        <a:p>
          <a:pPr algn="ctr"/>
          <a:r>
            <a:rPr lang="en-GB" sz="1100"/>
            <a:t>Remove</a:t>
          </a:r>
          <a:r>
            <a:rPr lang="en-GB" sz="1100" baseline="0"/>
            <a:t> the lowest to it subsequence highest cluster</a:t>
          </a:r>
          <a:endParaRPr lang="en-GB" sz="1100"/>
        </a:p>
      </xdr:txBody>
    </xdr:sp>
    <xdr:clientData/>
  </xdr:twoCellAnchor>
  <xdr:twoCellAnchor>
    <xdr:from>
      <xdr:col>9</xdr:col>
      <xdr:colOff>329790</xdr:colOff>
      <xdr:row>7</xdr:row>
      <xdr:rowOff>45641</xdr:rowOff>
    </xdr:from>
    <xdr:to>
      <xdr:col>17</xdr:col>
      <xdr:colOff>171641</xdr:colOff>
      <xdr:row>7</xdr:row>
      <xdr:rowOff>123519</xdr:rowOff>
    </xdr:to>
    <xdr:cxnSp macro="">
      <xdr:nvCxnSpPr>
        <xdr:cNvPr id="5" name="Connector: Elbow 4">
          <a:extLst>
            <a:ext uri="{FF2B5EF4-FFF2-40B4-BE49-F238E27FC236}">
              <a16:creationId xmlns:a16="http://schemas.microsoft.com/office/drawing/2014/main" id="{60A86750-00DA-4846-BA68-12F84645B061}"/>
            </a:ext>
          </a:extLst>
        </xdr:cNvPr>
        <xdr:cNvCxnSpPr>
          <a:stCxn id="4" idx="0"/>
          <a:endCxn id="2" idx="0"/>
        </xdr:cNvCxnSpPr>
      </xdr:nvCxnSpPr>
      <xdr:spPr>
        <a:xfrm rot="16200000" flipH="1" flipV="1">
          <a:off x="10124346" y="-992484"/>
          <a:ext cx="77878" cy="4729161"/>
        </a:xfrm>
        <a:prstGeom prst="bentConnector3">
          <a:avLst>
            <a:gd name="adj1" fmla="val -29353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392025</xdr:colOff>
      <xdr:row>2</xdr:row>
      <xdr:rowOff>44823</xdr:rowOff>
    </xdr:from>
    <xdr:to>
      <xdr:col>10</xdr:col>
      <xdr:colOff>491939</xdr:colOff>
      <xdr:row>4</xdr:row>
      <xdr:rowOff>119528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6521A89-507B-4D0E-9B04-34C37F7742BB}"/>
            </a:ext>
          </a:extLst>
        </xdr:cNvPr>
        <xdr:cNvSpPr/>
      </xdr:nvSpPr>
      <xdr:spPr>
        <a:xfrm>
          <a:off x="6644907" y="418352"/>
          <a:ext cx="1937679" cy="448235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</a:t>
          </a:r>
          <a:r>
            <a:rPr lang="en-GB" sz="1100" baseline="0"/>
            <a:t> 1 : </a:t>
          </a:r>
        </a:p>
        <a:p>
          <a:pPr algn="l"/>
          <a:r>
            <a:rPr lang="en-GB" sz="1100" baseline="0"/>
            <a:t>Mark the highest prediction %</a:t>
          </a:r>
          <a:endParaRPr lang="en-GB" sz="1100"/>
        </a:p>
      </xdr:txBody>
    </xdr:sp>
    <xdr:clientData/>
  </xdr:twoCellAnchor>
  <xdr:twoCellAnchor>
    <xdr:from>
      <xdr:col>9</xdr:col>
      <xdr:colOff>136388</xdr:colOff>
      <xdr:row>4</xdr:row>
      <xdr:rowOff>119528</xdr:rowOff>
    </xdr:from>
    <xdr:to>
      <xdr:col>9</xdr:col>
      <xdr:colOff>142875</xdr:colOff>
      <xdr:row>7</xdr:row>
      <xdr:rowOff>111125</xdr:rowOff>
    </xdr:to>
    <xdr:cxnSp macro="">
      <xdr:nvCxnSpPr>
        <xdr:cNvPr id="48" name="Straight Arrow Connector 47">
          <a:extLst>
            <a:ext uri="{FF2B5EF4-FFF2-40B4-BE49-F238E27FC236}">
              <a16:creationId xmlns:a16="http://schemas.microsoft.com/office/drawing/2014/main" id="{8A0E8AF7-1469-4CF8-9270-E410FC37A4DA}"/>
            </a:ext>
          </a:extLst>
        </xdr:cNvPr>
        <xdr:cNvCxnSpPr>
          <a:stCxn id="13" idx="2"/>
        </xdr:cNvCxnSpPr>
      </xdr:nvCxnSpPr>
      <xdr:spPr>
        <a:xfrm>
          <a:off x="7605576" y="849778"/>
          <a:ext cx="6487" cy="53928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245012</xdr:colOff>
      <xdr:row>13</xdr:row>
      <xdr:rowOff>168820</xdr:rowOff>
    </xdr:from>
    <xdr:to>
      <xdr:col>11</xdr:col>
      <xdr:colOff>406937</xdr:colOff>
      <xdr:row>15</xdr:row>
      <xdr:rowOff>112995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A763027F-400C-4FBE-AF68-A653018E8F8A}"/>
            </a:ext>
          </a:extLst>
        </xdr:cNvPr>
        <xdr:cNvSpPr/>
      </xdr:nvSpPr>
      <xdr:spPr>
        <a:xfrm>
          <a:off x="6492098" y="2573061"/>
          <a:ext cx="2605580" cy="31203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Assign</a:t>
          </a:r>
          <a:r>
            <a:rPr lang="en-GB" sz="1100" baseline="0"/>
            <a:t> Device ID into the respective cluster</a:t>
          </a:r>
        </a:p>
        <a:p>
          <a:pPr algn="l"/>
          <a:endParaRPr lang="en-GB" sz="1100"/>
        </a:p>
      </xdr:txBody>
    </xdr:sp>
    <xdr:clientData/>
  </xdr:twoCellAnchor>
  <xdr:twoCellAnchor>
    <xdr:from>
      <xdr:col>9</xdr:col>
      <xdr:colOff>327562</xdr:colOff>
      <xdr:row>10</xdr:row>
      <xdr:rowOff>105104</xdr:rowOff>
    </xdr:from>
    <xdr:to>
      <xdr:col>9</xdr:col>
      <xdr:colOff>332965</xdr:colOff>
      <xdr:row>13</xdr:row>
      <xdr:rowOff>168820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22ADB756-6784-47BD-A77E-F5171818F4E5}"/>
            </a:ext>
          </a:extLst>
        </xdr:cNvPr>
        <xdr:cNvCxnSpPr>
          <a:stCxn id="2" idx="2"/>
          <a:endCxn id="51" idx="0"/>
        </xdr:cNvCxnSpPr>
      </xdr:nvCxnSpPr>
      <xdr:spPr>
        <a:xfrm flipH="1">
          <a:off x="7796476" y="1957552"/>
          <a:ext cx="5403" cy="61550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257159</xdr:colOff>
      <xdr:row>7</xdr:row>
      <xdr:rowOff>73269</xdr:rowOff>
    </xdr:from>
    <xdr:ext cx="385105" cy="264560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AD290980-AA0F-DF20-3370-5A2CF1C521C2}"/>
            </a:ext>
          </a:extLst>
        </xdr:cNvPr>
        <xdr:cNvSpPr txBox="1"/>
      </xdr:nvSpPr>
      <xdr:spPr>
        <a:xfrm>
          <a:off x="8960394" y="1380622"/>
          <a:ext cx="38510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Yes</a:t>
          </a:r>
        </a:p>
      </xdr:txBody>
    </xdr:sp>
    <xdr:clientData/>
  </xdr:oneCellAnchor>
  <xdr:oneCellAnchor>
    <xdr:from>
      <xdr:col>8</xdr:col>
      <xdr:colOff>576384</xdr:colOff>
      <xdr:row>10</xdr:row>
      <xdr:rowOff>107462</xdr:rowOff>
    </xdr:from>
    <xdr:ext cx="346826" cy="264560"/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A08F5406-DF08-177D-0B5D-9D30975E467E}"/>
            </a:ext>
          </a:extLst>
        </xdr:cNvPr>
        <xdr:cNvSpPr txBox="1"/>
      </xdr:nvSpPr>
      <xdr:spPr>
        <a:xfrm>
          <a:off x="6530730" y="1973385"/>
          <a:ext cx="34682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MY" sz="1100"/>
            <a:t>No</a:t>
          </a:r>
        </a:p>
      </xdr:txBody>
    </xdr:sp>
    <xdr:clientData/>
  </xdr:oneCellAnchor>
  <xdr:twoCellAnchor>
    <xdr:from>
      <xdr:col>7</xdr:col>
      <xdr:colOff>245672</xdr:colOff>
      <xdr:row>18</xdr:row>
      <xdr:rowOff>24221</xdr:rowOff>
    </xdr:from>
    <xdr:to>
      <xdr:col>11</xdr:col>
      <xdr:colOff>416981</xdr:colOff>
      <xdr:row>20</xdr:row>
      <xdr:rowOff>107046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3E1654B4-37CD-4AB5-A461-58695B014FAA}"/>
            </a:ext>
          </a:extLst>
        </xdr:cNvPr>
        <xdr:cNvSpPr/>
      </xdr:nvSpPr>
      <xdr:spPr>
        <a:xfrm>
          <a:off x="6492758" y="3348118"/>
          <a:ext cx="2614964" cy="450687"/>
        </a:xfrm>
        <a:prstGeom prst="rect">
          <a:avLst/>
        </a:prstGeom>
        <a:solidFill>
          <a:schemeClr val="tx2">
            <a:lumMod val="90000"/>
            <a:lumOff val="1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GB" sz="1100"/>
            <a:t>Stage 4 : </a:t>
          </a:r>
        </a:p>
        <a:p>
          <a:pPr algn="l"/>
          <a:r>
            <a:rPr lang="en-GB" sz="1100" baseline="0"/>
            <a:t>Catagorize Device ID by each cluster group</a:t>
          </a:r>
          <a:endParaRPr lang="en-GB" sz="1100"/>
        </a:p>
      </xdr:txBody>
    </xdr:sp>
    <xdr:clientData/>
  </xdr:twoCellAnchor>
  <xdr:twoCellAnchor>
    <xdr:from>
      <xdr:col>9</xdr:col>
      <xdr:colOff>327562</xdr:colOff>
      <xdr:row>15</xdr:row>
      <xdr:rowOff>112995</xdr:rowOff>
    </xdr:from>
    <xdr:to>
      <xdr:col>9</xdr:col>
      <xdr:colOff>331326</xdr:colOff>
      <xdr:row>18</xdr:row>
      <xdr:rowOff>27396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015DDCA4-98B6-4F9E-A796-F10DD97430BB}"/>
            </a:ext>
          </a:extLst>
        </xdr:cNvPr>
        <xdr:cNvCxnSpPr>
          <a:stCxn id="51" idx="2"/>
          <a:endCxn id="60" idx="0"/>
        </xdr:cNvCxnSpPr>
      </xdr:nvCxnSpPr>
      <xdr:spPr>
        <a:xfrm>
          <a:off x="7796476" y="2885098"/>
          <a:ext cx="3764" cy="46619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160338</xdr:colOff>
      <xdr:row>9</xdr:row>
      <xdr:rowOff>20759</xdr:rowOff>
    </xdr:from>
    <xdr:to>
      <xdr:col>15</xdr:col>
      <xdr:colOff>207031</xdr:colOff>
      <xdr:row>16</xdr:row>
      <xdr:rowOff>114848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1EFB6FF-5D50-4445-8AC9-D9B27502E62A}"/>
            </a:ext>
          </a:extLst>
        </xdr:cNvPr>
        <xdr:cNvCxnSpPr>
          <a:stCxn id="2" idx="3"/>
        </xdr:cNvCxnSpPr>
      </xdr:nvCxnSpPr>
      <xdr:spPr>
        <a:xfrm>
          <a:off x="8851079" y="1682707"/>
          <a:ext cx="2490349" cy="13881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251F7-615A-45C5-AB51-9631C6BD4189}">
  <dimension ref="B1:J21"/>
  <sheetViews>
    <sheetView topLeftCell="F5" zoomScale="205" zoomScaleNormal="205" workbookViewId="0">
      <selection activeCell="L13" sqref="L13"/>
    </sheetView>
  </sheetViews>
  <sheetFormatPr defaultRowHeight="14.5" x14ac:dyDescent="0.35"/>
  <cols>
    <col min="4" max="4" width="19" bestFit="1" customWidth="1"/>
    <col min="5" max="5" width="17.453125" bestFit="1" customWidth="1"/>
    <col min="6" max="6" width="18" bestFit="1" customWidth="1"/>
  </cols>
  <sheetData>
    <row r="1" spans="2:10" x14ac:dyDescent="0.35">
      <c r="D1" s="1" t="s">
        <v>58</v>
      </c>
    </row>
    <row r="3" spans="2:10" x14ac:dyDescent="0.35">
      <c r="D3" s="15" t="s">
        <v>39</v>
      </c>
      <c r="E3" s="15" t="s">
        <v>41</v>
      </c>
      <c r="F3" s="15" t="s">
        <v>40</v>
      </c>
      <c r="G3" s="20" t="s">
        <v>48</v>
      </c>
    </row>
    <row r="4" spans="2:10" x14ac:dyDescent="0.35">
      <c r="C4" t="s">
        <v>42</v>
      </c>
      <c r="D4">
        <v>2</v>
      </c>
      <c r="E4">
        <v>1</v>
      </c>
      <c r="F4">
        <v>3</v>
      </c>
      <c r="G4" s="12">
        <v>6</v>
      </c>
    </row>
    <row r="5" spans="2:10" x14ac:dyDescent="0.35">
      <c r="C5" t="s">
        <v>43</v>
      </c>
      <c r="D5">
        <v>2</v>
      </c>
      <c r="E5">
        <v>2</v>
      </c>
      <c r="F5">
        <v>2</v>
      </c>
      <c r="G5" s="12">
        <v>6</v>
      </c>
    </row>
    <row r="6" spans="2:10" x14ac:dyDescent="0.35">
      <c r="C6" t="s">
        <v>44</v>
      </c>
      <c r="D6">
        <v>4</v>
      </c>
      <c r="E6">
        <v>1</v>
      </c>
      <c r="F6">
        <v>3</v>
      </c>
      <c r="G6" s="12">
        <v>8</v>
      </c>
    </row>
    <row r="7" spans="2:10" x14ac:dyDescent="0.35">
      <c r="C7" t="s">
        <v>45</v>
      </c>
      <c r="D7">
        <v>2</v>
      </c>
      <c r="E7">
        <v>1</v>
      </c>
      <c r="F7">
        <v>1</v>
      </c>
      <c r="G7" s="12">
        <v>4</v>
      </c>
    </row>
    <row r="8" spans="2:10" x14ac:dyDescent="0.35">
      <c r="C8" t="s">
        <v>46</v>
      </c>
      <c r="D8">
        <v>0</v>
      </c>
      <c r="E8">
        <v>0</v>
      </c>
      <c r="F8">
        <v>5</v>
      </c>
      <c r="G8" s="12">
        <v>5</v>
      </c>
    </row>
    <row r="9" spans="2:10" ht="15" thickBot="1" x14ac:dyDescent="0.4">
      <c r="C9" s="21" t="s">
        <v>47</v>
      </c>
      <c r="D9" s="11">
        <v>10</v>
      </c>
      <c r="E9" s="11">
        <v>5</v>
      </c>
      <c r="F9" s="11">
        <v>14</v>
      </c>
      <c r="G9">
        <f>SUM(G4:G8)</f>
        <v>29</v>
      </c>
    </row>
    <row r="10" spans="2:10" ht="15" thickTop="1" x14ac:dyDescent="0.35"/>
    <row r="13" spans="2:10" x14ac:dyDescent="0.35">
      <c r="C13" s="19" t="s">
        <v>57</v>
      </c>
    </row>
    <row r="15" spans="2:10" x14ac:dyDescent="0.35">
      <c r="B15" t="s">
        <v>49</v>
      </c>
      <c r="C15" t="s">
        <v>53</v>
      </c>
      <c r="E15" s="1"/>
      <c r="F15" s="1"/>
      <c r="I15" s="1"/>
      <c r="J15" s="1"/>
    </row>
    <row r="16" spans="2:10" x14ac:dyDescent="0.35">
      <c r="B16" s="22" t="s">
        <v>50</v>
      </c>
      <c r="C16" t="s">
        <v>51</v>
      </c>
    </row>
    <row r="17" spans="2:3" x14ac:dyDescent="0.35">
      <c r="B17" s="22"/>
      <c r="C17" t="s">
        <v>52</v>
      </c>
    </row>
    <row r="18" spans="2:3" x14ac:dyDescent="0.35">
      <c r="B18" s="22"/>
      <c r="C18" s="18" t="s">
        <v>55</v>
      </c>
    </row>
    <row r="19" spans="2:3" x14ac:dyDescent="0.35">
      <c r="C19" t="s">
        <v>59</v>
      </c>
    </row>
    <row r="20" spans="2:3" x14ac:dyDescent="0.35">
      <c r="B20" t="s">
        <v>54</v>
      </c>
      <c r="C20" t="s">
        <v>59</v>
      </c>
    </row>
    <row r="21" spans="2:3" x14ac:dyDescent="0.35">
      <c r="B21" t="s">
        <v>56</v>
      </c>
      <c r="C21" t="s">
        <v>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AC392-3DBC-4888-8676-CE4E321B2BF1}">
  <dimension ref="B2:Q31"/>
  <sheetViews>
    <sheetView zoomScale="115" zoomScaleNormal="115" workbookViewId="0">
      <selection activeCell="L17" sqref="L17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7" x14ac:dyDescent="0.35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7" x14ac:dyDescent="0.35">
      <c r="B3" t="s">
        <v>7</v>
      </c>
      <c r="C3" t="s">
        <v>8</v>
      </c>
      <c r="D3">
        <v>68.8</v>
      </c>
      <c r="E3">
        <v>83.4</v>
      </c>
      <c r="F3">
        <v>19.8</v>
      </c>
      <c r="G3">
        <v>38.200000000000003</v>
      </c>
      <c r="H3" s="4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7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7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7" x14ac:dyDescent="0.35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7" x14ac:dyDescent="0.35">
      <c r="B7" t="s">
        <v>12</v>
      </c>
      <c r="C7" t="s">
        <v>8</v>
      </c>
      <c r="D7">
        <v>39.6</v>
      </c>
      <c r="E7">
        <v>1.3</v>
      </c>
      <c r="F7">
        <v>54.9</v>
      </c>
      <c r="G7">
        <v>26.3</v>
      </c>
      <c r="H7" s="4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7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7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7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7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s="13" t="s">
        <v>49</v>
      </c>
      <c r="L11" s="13" t="s">
        <v>53</v>
      </c>
      <c r="M11" s="13"/>
      <c r="N11" s="13"/>
      <c r="O11" s="13"/>
      <c r="P11" s="1"/>
      <c r="Q11" s="1"/>
    </row>
    <row r="12" spans="2:17" ht="15" thickBot="1" x14ac:dyDescent="0.4">
      <c r="B12" s="9" t="s">
        <v>17</v>
      </c>
      <c r="C12" s="9" t="s">
        <v>8</v>
      </c>
      <c r="D12" s="9">
        <v>78.900000000000006</v>
      </c>
      <c r="E12" s="9">
        <v>84</v>
      </c>
      <c r="F12" s="9">
        <v>22.4</v>
      </c>
      <c r="G12" s="17">
        <v>89.1</v>
      </c>
      <c r="H12" s="9">
        <v>35.700000000000003</v>
      </c>
      <c r="K12" t="s">
        <v>50</v>
      </c>
      <c r="L12" t="s">
        <v>51</v>
      </c>
    </row>
    <row r="13" spans="2:17" x14ac:dyDescent="0.35">
      <c r="B13" t="s">
        <v>18</v>
      </c>
      <c r="C13" t="s">
        <v>19</v>
      </c>
      <c r="D13">
        <v>50.9</v>
      </c>
      <c r="E13">
        <v>46</v>
      </c>
      <c r="F13">
        <v>7.2</v>
      </c>
      <c r="G13">
        <v>7.4</v>
      </c>
      <c r="H13" s="4">
        <v>90.3</v>
      </c>
      <c r="L13" t="s">
        <v>52</v>
      </c>
    </row>
    <row r="14" spans="2:17" x14ac:dyDescent="0.35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L14" s="18" t="s">
        <v>55</v>
      </c>
    </row>
    <row r="15" spans="2:17" x14ac:dyDescent="0.35">
      <c r="B15" t="s">
        <v>21</v>
      </c>
      <c r="C15" t="s">
        <v>19</v>
      </c>
      <c r="D15">
        <v>28.3</v>
      </c>
      <c r="E15">
        <v>40.4</v>
      </c>
      <c r="F15">
        <v>12.6</v>
      </c>
      <c r="G15">
        <v>43.9</v>
      </c>
      <c r="H15" s="4">
        <v>84.7</v>
      </c>
      <c r="L15" t="s">
        <v>59</v>
      </c>
    </row>
    <row r="16" spans="2:17" x14ac:dyDescent="0.35">
      <c r="B16" t="s">
        <v>22</v>
      </c>
      <c r="C16" t="s">
        <v>19</v>
      </c>
      <c r="D16">
        <v>8.5</v>
      </c>
      <c r="E16">
        <v>60.3</v>
      </c>
      <c r="F16">
        <v>27.9</v>
      </c>
      <c r="G16">
        <v>31.8</v>
      </c>
      <c r="H16" s="4">
        <v>66.7</v>
      </c>
      <c r="K16" t="s">
        <v>54</v>
      </c>
      <c r="L16" t="s">
        <v>59</v>
      </c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60</v>
      </c>
    </row>
    <row r="18" spans="2:12" x14ac:dyDescent="0.35">
      <c r="B18" t="s">
        <v>24</v>
      </c>
      <c r="C18" t="s">
        <v>25</v>
      </c>
      <c r="D18">
        <v>47.4</v>
      </c>
      <c r="E18">
        <v>72.5</v>
      </c>
      <c r="F18">
        <v>74.900000000000006</v>
      </c>
      <c r="G18" s="4">
        <v>84.3</v>
      </c>
      <c r="H18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x14ac:dyDescent="0.35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x14ac:dyDescent="0.35">
      <c r="B25" t="s">
        <v>32</v>
      </c>
      <c r="C25" t="s">
        <v>25</v>
      </c>
      <c r="D25">
        <v>3.4</v>
      </c>
      <c r="E25">
        <v>63.3</v>
      </c>
      <c r="F25">
        <v>36.200000000000003</v>
      </c>
      <c r="G25" s="4">
        <v>70.5</v>
      </c>
      <c r="H25">
        <v>63.8</v>
      </c>
    </row>
    <row r="26" spans="2:12" x14ac:dyDescent="0.35">
      <c r="B26" t="s">
        <v>33</v>
      </c>
      <c r="C26" t="s">
        <v>25</v>
      </c>
      <c r="D26">
        <v>57.9</v>
      </c>
      <c r="E26">
        <v>50.4</v>
      </c>
      <c r="F26">
        <v>5.0999999999999996</v>
      </c>
      <c r="G26" s="4">
        <v>63.4</v>
      </c>
      <c r="H26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x14ac:dyDescent="0.35">
      <c r="B28" t="s">
        <v>35</v>
      </c>
      <c r="C28" t="s">
        <v>25</v>
      </c>
      <c r="D28">
        <v>33.799999999999997</v>
      </c>
      <c r="E28" s="4">
        <v>93.3</v>
      </c>
      <c r="F28">
        <v>64.900000000000006</v>
      </c>
      <c r="G28">
        <v>63.2</v>
      </c>
      <c r="H28">
        <v>7.1</v>
      </c>
    </row>
    <row r="29" spans="2:12" x14ac:dyDescent="0.35">
      <c r="B29" t="s">
        <v>36</v>
      </c>
      <c r="C29" t="s">
        <v>25</v>
      </c>
      <c r="D29">
        <v>15.6</v>
      </c>
      <c r="E29" s="4">
        <v>77.599999999999994</v>
      </c>
      <c r="F29">
        <v>24.3</v>
      </c>
      <c r="G29">
        <v>5.3</v>
      </c>
      <c r="H29">
        <v>53.5</v>
      </c>
    </row>
    <row r="30" spans="2:12" x14ac:dyDescent="0.35">
      <c r="B30" t="s">
        <v>37</v>
      </c>
      <c r="C30" t="s">
        <v>25</v>
      </c>
      <c r="D30">
        <v>17.2</v>
      </c>
      <c r="E30">
        <v>13.3</v>
      </c>
      <c r="F30" s="4">
        <v>48.1</v>
      </c>
      <c r="G30">
        <v>31.2</v>
      </c>
      <c r="H30">
        <v>31.9</v>
      </c>
    </row>
    <row r="31" spans="2:12" x14ac:dyDescent="0.35">
      <c r="B31" t="s">
        <v>38</v>
      </c>
      <c r="C31" t="s">
        <v>25</v>
      </c>
      <c r="D31">
        <v>5.0999999999999996</v>
      </c>
      <c r="E31">
        <v>9.9</v>
      </c>
      <c r="F31">
        <v>60.4</v>
      </c>
      <c r="G31" s="4">
        <v>85.5</v>
      </c>
      <c r="H31">
        <v>95.9</v>
      </c>
    </row>
  </sheetData>
  <autoFilter ref="B2:H31" xr:uid="{25C3A135-87E2-4A5E-8E06-586A6DE8385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8E5F-AF7D-41D4-BF57-6A1EA4CEA7A3}">
  <dimension ref="B2:Q31"/>
  <sheetViews>
    <sheetView zoomScaleNormal="100" workbookViewId="0">
      <selection activeCell="L17" sqref="L17"/>
    </sheetView>
  </sheetViews>
  <sheetFormatPr defaultRowHeight="14.5" x14ac:dyDescent="0.35"/>
  <cols>
    <col min="2" max="2" width="9.08984375" bestFit="1" customWidth="1"/>
    <col min="3" max="3" width="14.81640625" bestFit="1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7" x14ac:dyDescent="0.35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7" x14ac:dyDescent="0.35">
      <c r="B3" t="s">
        <v>7</v>
      </c>
      <c r="C3" t="s">
        <v>8</v>
      </c>
      <c r="D3">
        <v>68.8</v>
      </c>
      <c r="E3" s="13">
        <v>83.4</v>
      </c>
      <c r="F3">
        <v>19.8</v>
      </c>
      <c r="G3">
        <v>38.200000000000003</v>
      </c>
      <c r="H3" s="14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7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7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7" x14ac:dyDescent="0.35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7" x14ac:dyDescent="0.35">
      <c r="B7" t="s">
        <v>12</v>
      </c>
      <c r="C7" t="s">
        <v>8</v>
      </c>
      <c r="D7">
        <v>39.6</v>
      </c>
      <c r="E7">
        <v>1.3</v>
      </c>
      <c r="F7" s="13">
        <v>54.9</v>
      </c>
      <c r="G7">
        <v>26.3</v>
      </c>
      <c r="H7" s="14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7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7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7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7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23" t="s">
        <v>53</v>
      </c>
      <c r="M11" s="23"/>
      <c r="N11" s="23"/>
      <c r="O11" s="23"/>
      <c r="P11" s="23"/>
      <c r="Q11" s="23"/>
    </row>
    <row r="12" spans="2:17" ht="15" thickBot="1" x14ac:dyDescent="0.4">
      <c r="B12" s="9" t="s">
        <v>17</v>
      </c>
      <c r="C12" s="9" t="s">
        <v>8</v>
      </c>
      <c r="D12" s="9">
        <v>78.900000000000006</v>
      </c>
      <c r="E12" s="9">
        <v>84</v>
      </c>
      <c r="F12" s="9">
        <v>22.4</v>
      </c>
      <c r="G12" s="17">
        <v>89.1</v>
      </c>
      <c r="H12" s="9">
        <v>35.700000000000003</v>
      </c>
      <c r="K12" s="13" t="s">
        <v>50</v>
      </c>
      <c r="L12" s="4" t="s">
        <v>51</v>
      </c>
      <c r="M12" s="4"/>
      <c r="N12" s="4"/>
      <c r="O12" s="4"/>
      <c r="P12" s="4"/>
      <c r="Q12" s="4"/>
    </row>
    <row r="13" spans="2:17" x14ac:dyDescent="0.35">
      <c r="B13" t="s">
        <v>18</v>
      </c>
      <c r="C13" t="s">
        <v>19</v>
      </c>
      <c r="D13">
        <v>50.9</v>
      </c>
      <c r="E13" s="13">
        <v>46</v>
      </c>
      <c r="F13">
        <v>7.2</v>
      </c>
      <c r="G13">
        <v>7.4</v>
      </c>
      <c r="H13" s="14">
        <v>90.3</v>
      </c>
      <c r="K13" s="4"/>
      <c r="L13" s="4" t="s">
        <v>52</v>
      </c>
      <c r="M13" s="4"/>
      <c r="N13" s="4"/>
      <c r="O13" s="4"/>
      <c r="P13" s="4"/>
      <c r="Q13" s="4"/>
    </row>
    <row r="14" spans="2:17" x14ac:dyDescent="0.35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K14" s="4"/>
      <c r="L14" s="16" t="s">
        <v>55</v>
      </c>
      <c r="M14" s="4"/>
      <c r="N14" s="4"/>
      <c r="O14" s="4"/>
      <c r="P14" s="4"/>
      <c r="Q14" s="4"/>
    </row>
    <row r="15" spans="2:17" x14ac:dyDescent="0.35">
      <c r="B15" t="s">
        <v>21</v>
      </c>
      <c r="C15" t="s">
        <v>19</v>
      </c>
      <c r="D15">
        <v>28.3</v>
      </c>
      <c r="E15">
        <v>40.4</v>
      </c>
      <c r="F15">
        <v>12.6</v>
      </c>
      <c r="G15" s="13">
        <v>43.9</v>
      </c>
      <c r="H15" s="14">
        <v>84.7</v>
      </c>
      <c r="K15" s="4"/>
      <c r="L15" s="4" t="s">
        <v>59</v>
      </c>
      <c r="M15" s="4"/>
      <c r="N15" s="4"/>
      <c r="O15" s="4"/>
      <c r="P15" s="4"/>
      <c r="Q15" s="4"/>
    </row>
    <row r="16" spans="2:17" x14ac:dyDescent="0.35">
      <c r="B16" t="s">
        <v>22</v>
      </c>
      <c r="C16" t="s">
        <v>19</v>
      </c>
      <c r="D16">
        <v>8.5</v>
      </c>
      <c r="E16" s="13">
        <v>60.3</v>
      </c>
      <c r="F16">
        <v>27.9</v>
      </c>
      <c r="G16">
        <v>31.8</v>
      </c>
      <c r="H16" s="14">
        <v>66.7</v>
      </c>
      <c r="K16" t="s">
        <v>54</v>
      </c>
      <c r="L16" t="s">
        <v>59</v>
      </c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60</v>
      </c>
    </row>
    <row r="18" spans="2:12" x14ac:dyDescent="0.35">
      <c r="B18" t="s">
        <v>24</v>
      </c>
      <c r="C18" t="s">
        <v>25</v>
      </c>
      <c r="D18">
        <v>47.4</v>
      </c>
      <c r="E18">
        <v>72.5</v>
      </c>
      <c r="F18" s="13">
        <v>74.900000000000006</v>
      </c>
      <c r="G18" s="14">
        <v>84.3</v>
      </c>
      <c r="H18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x14ac:dyDescent="0.35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x14ac:dyDescent="0.35">
      <c r="B25" t="s">
        <v>32</v>
      </c>
      <c r="C25" t="s">
        <v>25</v>
      </c>
      <c r="D25">
        <v>3.4</v>
      </c>
      <c r="E25">
        <v>63.3</v>
      </c>
      <c r="F25">
        <v>36.200000000000003</v>
      </c>
      <c r="G25" s="14">
        <v>70.5</v>
      </c>
      <c r="H25">
        <v>63.8</v>
      </c>
    </row>
    <row r="26" spans="2:12" x14ac:dyDescent="0.35">
      <c r="B26" t="s">
        <v>33</v>
      </c>
      <c r="C26" t="s">
        <v>25</v>
      </c>
      <c r="D26" s="13">
        <v>57.9</v>
      </c>
      <c r="E26">
        <v>50.4</v>
      </c>
      <c r="F26">
        <v>5.0999999999999996</v>
      </c>
      <c r="G26" s="14">
        <v>63.4</v>
      </c>
      <c r="H26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x14ac:dyDescent="0.35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x14ac:dyDescent="0.35">
      <c r="B29" t="s">
        <v>36</v>
      </c>
      <c r="C29" t="s">
        <v>25</v>
      </c>
      <c r="D29">
        <v>15.6</v>
      </c>
      <c r="E29" s="14">
        <v>77.599999999999994</v>
      </c>
      <c r="F29">
        <v>24.3</v>
      </c>
      <c r="G29">
        <v>5.3</v>
      </c>
      <c r="H29" s="13">
        <v>53.5</v>
      </c>
    </row>
    <row r="30" spans="2:12" x14ac:dyDescent="0.35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x14ac:dyDescent="0.35">
      <c r="B31" t="s">
        <v>38</v>
      </c>
      <c r="C31" t="s">
        <v>25</v>
      </c>
      <c r="D31">
        <v>5.0999999999999996</v>
      </c>
      <c r="E31">
        <v>9.9</v>
      </c>
      <c r="F31">
        <v>60.4</v>
      </c>
      <c r="G31" s="14">
        <v>85.5</v>
      </c>
      <c r="H31" s="13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52A9E-0EE5-44A0-960E-9E1CD6B00E9D}">
  <dimension ref="B2:R31"/>
  <sheetViews>
    <sheetView zoomScale="130" zoomScaleNormal="130" workbookViewId="0">
      <selection activeCell="K23" sqref="K23"/>
    </sheetView>
  </sheetViews>
  <sheetFormatPr defaultRowHeight="14.5" x14ac:dyDescent="0.35"/>
  <cols>
    <col min="2" max="2" width="9.08984375" bestFit="1" customWidth="1"/>
    <col min="3" max="3" width="14.7265625" customWidth="1"/>
    <col min="4" max="4" width="15.1796875" customWidth="1"/>
    <col min="5" max="5" width="14.26953125" customWidth="1"/>
    <col min="6" max="6" width="14.453125" customWidth="1"/>
    <col min="7" max="7" width="14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8" x14ac:dyDescent="0.35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L2" t="s">
        <v>39</v>
      </c>
      <c r="M2" t="s">
        <v>41</v>
      </c>
      <c r="N2" t="s">
        <v>40</v>
      </c>
      <c r="O2" s="12" t="s">
        <v>48</v>
      </c>
    </row>
    <row r="3" spans="2:18" x14ac:dyDescent="0.35">
      <c r="B3" t="s">
        <v>7</v>
      </c>
      <c r="C3" t="s">
        <v>8</v>
      </c>
      <c r="D3">
        <v>68.8</v>
      </c>
      <c r="E3" s="13">
        <v>83.4</v>
      </c>
      <c r="F3">
        <v>19.8</v>
      </c>
      <c r="G3">
        <v>38.200000000000003</v>
      </c>
      <c r="H3" s="14">
        <v>84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8" x14ac:dyDescent="0.35">
      <c r="B4" t="s">
        <v>9</v>
      </c>
      <c r="C4" t="s">
        <v>8</v>
      </c>
      <c r="D4">
        <v>69.2</v>
      </c>
      <c r="E4">
        <v>83</v>
      </c>
      <c r="F4" s="4">
        <v>91</v>
      </c>
      <c r="G4">
        <v>56.2</v>
      </c>
      <c r="H4">
        <v>79.8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8" x14ac:dyDescent="0.35">
      <c r="B5" t="s">
        <v>10</v>
      </c>
      <c r="C5" t="s">
        <v>8</v>
      </c>
      <c r="D5">
        <v>19.8</v>
      </c>
      <c r="E5">
        <v>33.200000000000003</v>
      </c>
      <c r="F5" s="4">
        <v>95.3</v>
      </c>
      <c r="G5">
        <v>12.4</v>
      </c>
      <c r="H5">
        <v>57.9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8" x14ac:dyDescent="0.35">
      <c r="B6" t="s">
        <v>11</v>
      </c>
      <c r="C6" t="s">
        <v>8</v>
      </c>
      <c r="D6" s="4">
        <v>98.5</v>
      </c>
      <c r="E6">
        <v>84.4</v>
      </c>
      <c r="F6">
        <v>7.2</v>
      </c>
      <c r="G6">
        <v>83</v>
      </c>
      <c r="H6">
        <v>31.2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8" x14ac:dyDescent="0.35">
      <c r="B7" t="s">
        <v>12</v>
      </c>
      <c r="C7" t="s">
        <v>8</v>
      </c>
      <c r="D7">
        <v>39.6</v>
      </c>
      <c r="E7">
        <v>1.3</v>
      </c>
      <c r="F7" s="13">
        <v>54.9</v>
      </c>
      <c r="G7">
        <v>26.3</v>
      </c>
      <c r="H7" s="14">
        <v>65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8" ht="15" thickBot="1" x14ac:dyDescent="0.4">
      <c r="B8" t="s">
        <v>13</v>
      </c>
      <c r="C8" t="s">
        <v>8</v>
      </c>
      <c r="D8">
        <v>67.900000000000006</v>
      </c>
      <c r="E8" s="4">
        <v>84.7</v>
      </c>
      <c r="F8">
        <v>35.700000000000003</v>
      </c>
      <c r="G8">
        <v>21.3</v>
      </c>
      <c r="H8">
        <v>43.2</v>
      </c>
      <c r="K8" s="11" t="s">
        <v>47</v>
      </c>
      <c r="L8" s="11">
        <v>10</v>
      </c>
      <c r="M8" s="11">
        <v>5</v>
      </c>
      <c r="N8" s="11">
        <v>14</v>
      </c>
    </row>
    <row r="9" spans="2:18" ht="15" thickTop="1" x14ac:dyDescent="0.35">
      <c r="B9" t="s">
        <v>14</v>
      </c>
      <c r="C9" t="s">
        <v>8</v>
      </c>
      <c r="D9">
        <v>44.5</v>
      </c>
      <c r="E9">
        <v>16.8</v>
      </c>
      <c r="F9">
        <v>73.099999999999994</v>
      </c>
      <c r="G9" s="4">
        <v>76.400000000000006</v>
      </c>
      <c r="H9">
        <v>8.6</v>
      </c>
    </row>
    <row r="10" spans="2:18" x14ac:dyDescent="0.35">
      <c r="B10" t="s">
        <v>15</v>
      </c>
      <c r="C10" t="s">
        <v>8</v>
      </c>
      <c r="D10">
        <v>46.3</v>
      </c>
      <c r="E10">
        <v>24.1</v>
      </c>
      <c r="F10" s="4">
        <v>87.1</v>
      </c>
      <c r="G10">
        <v>47.8</v>
      </c>
      <c r="H10">
        <v>30.2</v>
      </c>
    </row>
    <row r="11" spans="2:18" x14ac:dyDescent="0.35">
      <c r="B11" t="s">
        <v>16</v>
      </c>
      <c r="C11" t="s">
        <v>8</v>
      </c>
      <c r="D11" s="4">
        <v>96.8</v>
      </c>
      <c r="E11">
        <v>64.900000000000006</v>
      </c>
      <c r="F11">
        <v>7</v>
      </c>
      <c r="G11">
        <v>78.8</v>
      </c>
      <c r="H11">
        <v>22.2</v>
      </c>
      <c r="K11" t="s">
        <v>49</v>
      </c>
      <c r="L11" s="23" t="s">
        <v>53</v>
      </c>
      <c r="M11" s="23"/>
      <c r="N11" s="23"/>
      <c r="O11" s="23"/>
      <c r="P11" s="23"/>
      <c r="Q11" s="23"/>
    </row>
    <row r="12" spans="2:18" ht="15" thickBot="1" x14ac:dyDescent="0.4">
      <c r="B12" s="9" t="s">
        <v>17</v>
      </c>
      <c r="C12" s="9" t="s">
        <v>8</v>
      </c>
      <c r="D12" s="9">
        <v>78.900000000000006</v>
      </c>
      <c r="E12" s="9">
        <v>84</v>
      </c>
      <c r="F12" s="9">
        <v>22.4</v>
      </c>
      <c r="G12" s="17">
        <v>89.1</v>
      </c>
      <c r="H12" s="9">
        <v>35.700000000000003</v>
      </c>
      <c r="K12" t="s">
        <v>50</v>
      </c>
      <c r="L12" t="s">
        <v>51</v>
      </c>
    </row>
    <row r="13" spans="2:18" x14ac:dyDescent="0.35">
      <c r="B13" t="s">
        <v>18</v>
      </c>
      <c r="C13" t="s">
        <v>19</v>
      </c>
      <c r="D13" s="14">
        <v>50.9</v>
      </c>
      <c r="E13" s="13">
        <v>46</v>
      </c>
      <c r="F13">
        <v>7.2</v>
      </c>
      <c r="G13">
        <v>7.4</v>
      </c>
      <c r="H13" s="14">
        <v>90.3</v>
      </c>
      <c r="L13" t="s">
        <v>52</v>
      </c>
    </row>
    <row r="14" spans="2:18" x14ac:dyDescent="0.35">
      <c r="B14" t="s">
        <v>20</v>
      </c>
      <c r="C14" t="s">
        <v>19</v>
      </c>
      <c r="D14" s="4">
        <v>76.7</v>
      </c>
      <c r="E14">
        <v>52.8</v>
      </c>
      <c r="F14">
        <v>1.3</v>
      </c>
      <c r="G14">
        <v>0.7</v>
      </c>
      <c r="H14">
        <v>19.7</v>
      </c>
      <c r="L14" s="18" t="s">
        <v>55</v>
      </c>
    </row>
    <row r="15" spans="2:18" x14ac:dyDescent="0.35">
      <c r="B15" t="s">
        <v>21</v>
      </c>
      <c r="C15" t="s">
        <v>19</v>
      </c>
      <c r="D15">
        <v>28.3</v>
      </c>
      <c r="E15">
        <v>40.4</v>
      </c>
      <c r="F15">
        <v>12.6</v>
      </c>
      <c r="G15" s="13">
        <v>43.9</v>
      </c>
      <c r="H15" s="14">
        <v>84.7</v>
      </c>
      <c r="L15" t="s">
        <v>59</v>
      </c>
      <c r="N15" s="1"/>
      <c r="O15" s="1"/>
      <c r="P15" s="1"/>
      <c r="Q15" s="1"/>
      <c r="R15" s="1"/>
    </row>
    <row r="16" spans="2:18" x14ac:dyDescent="0.35">
      <c r="B16" t="s">
        <v>22</v>
      </c>
      <c r="C16" t="s">
        <v>19</v>
      </c>
      <c r="D16">
        <v>8.5</v>
      </c>
      <c r="E16" s="13">
        <v>60.3</v>
      </c>
      <c r="F16">
        <v>27.9</v>
      </c>
      <c r="G16">
        <v>31.8</v>
      </c>
      <c r="H16" s="14">
        <v>66.7</v>
      </c>
      <c r="K16" s="13" t="s">
        <v>54</v>
      </c>
      <c r="L16" s="13" t="s">
        <v>59</v>
      </c>
      <c r="M16" s="13"/>
      <c r="N16" s="13"/>
      <c r="O16" s="13"/>
      <c r="P16" s="13"/>
      <c r="Q16" s="13"/>
    </row>
    <row r="17" spans="2:12" ht="15" thickBot="1" x14ac:dyDescent="0.4">
      <c r="B17" s="9" t="s">
        <v>23</v>
      </c>
      <c r="C17" s="9" t="s">
        <v>19</v>
      </c>
      <c r="D17" s="9">
        <v>14.3</v>
      </c>
      <c r="E17" s="9">
        <v>45</v>
      </c>
      <c r="F17" s="17">
        <v>73.3</v>
      </c>
      <c r="G17" s="9">
        <v>51.8</v>
      </c>
      <c r="H17" s="9">
        <v>36.1</v>
      </c>
      <c r="K17" t="s">
        <v>56</v>
      </c>
      <c r="L17" t="s">
        <v>61</v>
      </c>
    </row>
    <row r="18" spans="2:12" x14ac:dyDescent="0.35">
      <c r="B18" t="s">
        <v>24</v>
      </c>
      <c r="C18" t="s">
        <v>25</v>
      </c>
      <c r="D18">
        <v>47.4</v>
      </c>
      <c r="E18">
        <v>72.5</v>
      </c>
      <c r="F18" s="13">
        <v>74.900000000000006</v>
      </c>
      <c r="G18" s="14">
        <v>84.3</v>
      </c>
      <c r="H18">
        <v>18.899999999999999</v>
      </c>
    </row>
    <row r="19" spans="2:12" x14ac:dyDescent="0.35">
      <c r="B19" t="s">
        <v>26</v>
      </c>
      <c r="C19" t="s">
        <v>25</v>
      </c>
      <c r="D19">
        <v>58.9</v>
      </c>
      <c r="E19" s="4">
        <v>99</v>
      </c>
      <c r="F19">
        <v>92.4</v>
      </c>
      <c r="G19">
        <v>57.6</v>
      </c>
      <c r="H19">
        <v>89.7</v>
      </c>
    </row>
    <row r="20" spans="2:12" x14ac:dyDescent="0.35">
      <c r="B20" t="s">
        <v>27</v>
      </c>
      <c r="C20" t="s">
        <v>25</v>
      </c>
      <c r="D20">
        <v>55.1</v>
      </c>
      <c r="E20">
        <v>20.9</v>
      </c>
      <c r="F20" s="4">
        <v>86</v>
      </c>
      <c r="G20">
        <v>77.8</v>
      </c>
      <c r="H20">
        <v>54.7</v>
      </c>
    </row>
    <row r="21" spans="2:12" x14ac:dyDescent="0.35">
      <c r="B21" t="s">
        <v>28</v>
      </c>
      <c r="C21" t="s">
        <v>25</v>
      </c>
      <c r="D21">
        <v>16.3</v>
      </c>
      <c r="E21">
        <v>22.8</v>
      </c>
      <c r="F21">
        <v>82</v>
      </c>
      <c r="G21" s="4">
        <v>96.9</v>
      </c>
      <c r="H21">
        <v>28.7</v>
      </c>
    </row>
    <row r="22" spans="2:12" x14ac:dyDescent="0.35">
      <c r="B22" t="s">
        <v>29</v>
      </c>
      <c r="C22" t="s">
        <v>25</v>
      </c>
      <c r="D22" s="4">
        <v>83.9</v>
      </c>
      <c r="E22">
        <v>4.8</v>
      </c>
      <c r="F22">
        <v>70.2</v>
      </c>
      <c r="G22">
        <v>58.1</v>
      </c>
      <c r="H22">
        <v>46.3</v>
      </c>
    </row>
    <row r="23" spans="2:12" x14ac:dyDescent="0.35">
      <c r="B23" t="s">
        <v>30</v>
      </c>
      <c r="C23" t="s">
        <v>25</v>
      </c>
      <c r="D23" s="4">
        <v>70</v>
      </c>
      <c r="E23">
        <v>5.9</v>
      </c>
      <c r="F23">
        <v>26.7</v>
      </c>
      <c r="G23">
        <v>18.399999999999999</v>
      </c>
      <c r="H23">
        <v>41.7</v>
      </c>
    </row>
    <row r="24" spans="2:12" x14ac:dyDescent="0.35">
      <c r="B24" t="s">
        <v>31</v>
      </c>
      <c r="C24" t="s">
        <v>25</v>
      </c>
      <c r="D24">
        <v>52.5</v>
      </c>
      <c r="E24">
        <v>71.5</v>
      </c>
      <c r="F24">
        <v>7</v>
      </c>
      <c r="G24">
        <v>70.3</v>
      </c>
      <c r="H24" s="4">
        <v>91.7</v>
      </c>
    </row>
    <row r="25" spans="2:12" x14ac:dyDescent="0.35">
      <c r="B25" t="s">
        <v>32</v>
      </c>
      <c r="C25" t="s">
        <v>25</v>
      </c>
      <c r="D25">
        <v>3.4</v>
      </c>
      <c r="E25">
        <v>63.3</v>
      </c>
      <c r="F25">
        <v>36.200000000000003</v>
      </c>
      <c r="G25" s="14">
        <v>70.5</v>
      </c>
      <c r="H25" s="13">
        <v>63.8</v>
      </c>
    </row>
    <row r="26" spans="2:12" x14ac:dyDescent="0.35">
      <c r="B26" t="s">
        <v>33</v>
      </c>
      <c r="C26" t="s">
        <v>25</v>
      </c>
      <c r="D26" s="13">
        <v>57.9</v>
      </c>
      <c r="E26">
        <v>50.4</v>
      </c>
      <c r="F26">
        <v>5.0999999999999996</v>
      </c>
      <c r="G26" s="14">
        <v>63.4</v>
      </c>
      <c r="H26">
        <v>4.8</v>
      </c>
    </row>
    <row r="27" spans="2:12" x14ac:dyDescent="0.35">
      <c r="B27" t="s">
        <v>34</v>
      </c>
      <c r="C27" t="s">
        <v>25</v>
      </c>
      <c r="D27">
        <v>93.4</v>
      </c>
      <c r="E27" s="4">
        <v>95.8</v>
      </c>
      <c r="F27">
        <v>58.4</v>
      </c>
      <c r="G27">
        <v>81.599999999999994</v>
      </c>
      <c r="H27">
        <v>29.2</v>
      </c>
    </row>
    <row r="28" spans="2:12" x14ac:dyDescent="0.35">
      <c r="B28" t="s">
        <v>35</v>
      </c>
      <c r="C28" t="s">
        <v>25</v>
      </c>
      <c r="D28">
        <v>33.799999999999997</v>
      </c>
      <c r="E28" s="14">
        <v>93.3</v>
      </c>
      <c r="F28" s="13">
        <v>64.900000000000006</v>
      </c>
      <c r="G28">
        <v>63.2</v>
      </c>
      <c r="H28">
        <v>7.1</v>
      </c>
    </row>
    <row r="29" spans="2:12" x14ac:dyDescent="0.35">
      <c r="B29" t="s">
        <v>36</v>
      </c>
      <c r="C29" t="s">
        <v>25</v>
      </c>
      <c r="D29">
        <v>15.6</v>
      </c>
      <c r="E29" s="14">
        <v>77.599999999999994</v>
      </c>
      <c r="F29">
        <v>24.3</v>
      </c>
      <c r="G29">
        <v>5.3</v>
      </c>
      <c r="H29" s="13">
        <v>53.5</v>
      </c>
    </row>
    <row r="30" spans="2:12" x14ac:dyDescent="0.35">
      <c r="B30" t="s">
        <v>37</v>
      </c>
      <c r="C30" t="s">
        <v>25</v>
      </c>
      <c r="D30">
        <v>17.2</v>
      </c>
      <c r="E30">
        <v>13.3</v>
      </c>
      <c r="F30" s="14">
        <v>48.1</v>
      </c>
      <c r="G30">
        <v>31.2</v>
      </c>
      <c r="H30" s="13">
        <v>31.9</v>
      </c>
    </row>
    <row r="31" spans="2:12" x14ac:dyDescent="0.35">
      <c r="B31" t="s">
        <v>38</v>
      </c>
      <c r="C31" t="s">
        <v>25</v>
      </c>
      <c r="D31">
        <v>5.0999999999999996</v>
      </c>
      <c r="E31">
        <v>9.9</v>
      </c>
      <c r="F31">
        <v>60.4</v>
      </c>
      <c r="G31" s="14">
        <v>85.5</v>
      </c>
      <c r="H31" s="13">
        <v>95.9</v>
      </c>
    </row>
  </sheetData>
  <autoFilter ref="B2:H31" xr:uid="{25C3A135-87E2-4A5E-8E06-586A6DE8385B}"/>
  <mergeCells count="1">
    <mergeCell ref="L11:Q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72548-7AE6-4D06-8BBB-21FD94D2FF8B}">
  <dimension ref="B2:Q26"/>
  <sheetViews>
    <sheetView zoomScaleNormal="100" workbookViewId="0">
      <selection activeCell="O28" sqref="O28"/>
    </sheetView>
  </sheetViews>
  <sheetFormatPr defaultRowHeight="14.5" x14ac:dyDescent="0.35"/>
  <cols>
    <col min="2" max="2" width="9.08984375" bestFit="1" customWidth="1"/>
    <col min="3" max="3" width="15.54296875" bestFit="1" customWidth="1"/>
    <col min="4" max="4" width="15.1796875" customWidth="1"/>
    <col min="5" max="5" width="10" customWidth="1"/>
    <col min="6" max="6" width="14.453125" customWidth="1"/>
    <col min="7" max="7" width="17.1796875" customWidth="1"/>
    <col min="8" max="8" width="13.36328125" customWidth="1"/>
    <col min="12" max="12" width="14.81640625" bestFit="1" customWidth="1"/>
    <col min="13" max="13" width="18" bestFit="1" customWidth="1"/>
  </cols>
  <sheetData>
    <row r="2" spans="2:17" x14ac:dyDescent="0.35">
      <c r="B2" s="10" t="s">
        <v>0</v>
      </c>
      <c r="C2" s="10" t="s">
        <v>1</v>
      </c>
      <c r="D2" s="10" t="s">
        <v>2</v>
      </c>
      <c r="F2" s="10" t="s">
        <v>0</v>
      </c>
      <c r="G2" s="10" t="s">
        <v>1</v>
      </c>
      <c r="H2" s="10" t="s">
        <v>3</v>
      </c>
      <c r="L2" t="s">
        <v>39</v>
      </c>
      <c r="M2" t="s">
        <v>41</v>
      </c>
      <c r="N2" t="s">
        <v>40</v>
      </c>
      <c r="O2" s="12" t="s">
        <v>48</v>
      </c>
    </row>
    <row r="3" spans="2:17" x14ac:dyDescent="0.35">
      <c r="B3" t="s">
        <v>11</v>
      </c>
      <c r="C3" t="s">
        <v>8</v>
      </c>
      <c r="D3" s="4">
        <v>98.5</v>
      </c>
      <c r="F3" t="s">
        <v>7</v>
      </c>
      <c r="G3" t="s">
        <v>8</v>
      </c>
      <c r="H3" s="4">
        <v>83.4</v>
      </c>
      <c r="K3" t="s">
        <v>42</v>
      </c>
      <c r="L3">
        <v>2</v>
      </c>
      <c r="M3">
        <v>1</v>
      </c>
      <c r="N3">
        <v>3</v>
      </c>
      <c r="O3" s="12">
        <v>6</v>
      </c>
    </row>
    <row r="4" spans="2:17" x14ac:dyDescent="0.35">
      <c r="B4" t="s">
        <v>16</v>
      </c>
      <c r="C4" t="s">
        <v>8</v>
      </c>
      <c r="D4" s="4">
        <v>96.8</v>
      </c>
      <c r="F4" t="s">
        <v>13</v>
      </c>
      <c r="G4" t="s">
        <v>8</v>
      </c>
      <c r="H4" s="4">
        <v>84.7</v>
      </c>
      <c r="K4" t="s">
        <v>43</v>
      </c>
      <c r="L4">
        <v>2</v>
      </c>
      <c r="M4">
        <v>2</v>
      </c>
      <c r="N4">
        <v>2</v>
      </c>
      <c r="O4" s="12">
        <v>6</v>
      </c>
    </row>
    <row r="5" spans="2:17" x14ac:dyDescent="0.35">
      <c r="B5" t="s">
        <v>20</v>
      </c>
      <c r="C5" t="s">
        <v>19</v>
      </c>
      <c r="D5" s="4">
        <v>76.7</v>
      </c>
      <c r="F5" t="s">
        <v>18</v>
      </c>
      <c r="G5" t="s">
        <v>19</v>
      </c>
      <c r="H5" s="4">
        <v>46</v>
      </c>
      <c r="K5" t="s">
        <v>44</v>
      </c>
      <c r="L5">
        <v>4</v>
      </c>
      <c r="M5">
        <v>1</v>
      </c>
      <c r="N5">
        <v>3</v>
      </c>
      <c r="O5" s="12">
        <v>8</v>
      </c>
    </row>
    <row r="6" spans="2:17" x14ac:dyDescent="0.35">
      <c r="B6" t="s">
        <v>29</v>
      </c>
      <c r="C6" t="s">
        <v>25</v>
      </c>
      <c r="D6" s="4">
        <v>83.9</v>
      </c>
      <c r="F6" t="s">
        <v>22</v>
      </c>
      <c r="G6" t="s">
        <v>19</v>
      </c>
      <c r="H6" s="4">
        <v>60.3</v>
      </c>
      <c r="K6" t="s">
        <v>45</v>
      </c>
      <c r="L6">
        <v>2</v>
      </c>
      <c r="M6">
        <v>1</v>
      </c>
      <c r="N6">
        <v>1</v>
      </c>
      <c r="O6" s="12">
        <v>4</v>
      </c>
    </row>
    <row r="7" spans="2:17" x14ac:dyDescent="0.35">
      <c r="B7" t="s">
        <v>30</v>
      </c>
      <c r="C7" t="s">
        <v>25</v>
      </c>
      <c r="D7" s="4">
        <v>70</v>
      </c>
      <c r="F7" t="s">
        <v>26</v>
      </c>
      <c r="G7" t="s">
        <v>25</v>
      </c>
      <c r="H7" s="4">
        <v>99</v>
      </c>
      <c r="K7" t="s">
        <v>46</v>
      </c>
      <c r="L7">
        <v>0</v>
      </c>
      <c r="M7">
        <v>0</v>
      </c>
      <c r="N7">
        <v>5</v>
      </c>
      <c r="O7" s="12">
        <v>5</v>
      </c>
    </row>
    <row r="8" spans="2:17" ht="15" thickBot="1" x14ac:dyDescent="0.4">
      <c r="B8" t="s">
        <v>33</v>
      </c>
      <c r="C8" t="s">
        <v>25</v>
      </c>
      <c r="D8" s="4">
        <v>57.9</v>
      </c>
      <c r="F8" t="s">
        <v>34</v>
      </c>
      <c r="G8" t="s">
        <v>25</v>
      </c>
      <c r="H8" s="4">
        <v>95.8</v>
      </c>
      <c r="K8" s="11" t="s">
        <v>47</v>
      </c>
      <c r="L8" s="11">
        <v>10</v>
      </c>
      <c r="M8" s="11">
        <v>5</v>
      </c>
      <c r="N8" s="11">
        <v>14</v>
      </c>
    </row>
    <row r="9" spans="2:17" ht="15" thickTop="1" x14ac:dyDescent="0.35"/>
    <row r="11" spans="2:17" x14ac:dyDescent="0.35">
      <c r="B11" s="10" t="s">
        <v>0</v>
      </c>
      <c r="C11" s="10" t="s">
        <v>1</v>
      </c>
      <c r="D11" s="10" t="s">
        <v>4</v>
      </c>
      <c r="F11" s="10" t="s">
        <v>0</v>
      </c>
      <c r="G11" s="10" t="s">
        <v>1</v>
      </c>
      <c r="H11" s="10" t="s">
        <v>5</v>
      </c>
      <c r="K11" t="s">
        <v>49</v>
      </c>
      <c r="L11" s="23" t="s">
        <v>53</v>
      </c>
      <c r="M11" s="23"/>
      <c r="N11" s="23"/>
      <c r="O11" s="23"/>
      <c r="P11" s="23"/>
      <c r="Q11" s="23"/>
    </row>
    <row r="12" spans="2:17" x14ac:dyDescent="0.35">
      <c r="B12" t="s">
        <v>27</v>
      </c>
      <c r="C12" t="s">
        <v>25</v>
      </c>
      <c r="D12" s="4">
        <v>86</v>
      </c>
      <c r="F12" t="s">
        <v>28</v>
      </c>
      <c r="G12" t="s">
        <v>25</v>
      </c>
      <c r="H12" s="4">
        <v>96.9</v>
      </c>
      <c r="K12" t="s">
        <v>50</v>
      </c>
      <c r="L12" t="s">
        <v>51</v>
      </c>
    </row>
    <row r="13" spans="2:17" x14ac:dyDescent="0.35">
      <c r="B13" t="s">
        <v>24</v>
      </c>
      <c r="C13" t="s">
        <v>25</v>
      </c>
      <c r="D13" s="4">
        <v>74.900000000000006</v>
      </c>
      <c r="F13" t="s">
        <v>21</v>
      </c>
      <c r="G13" t="s">
        <v>19</v>
      </c>
      <c r="H13" s="4">
        <v>43.9</v>
      </c>
      <c r="L13" t="s">
        <v>52</v>
      </c>
    </row>
    <row r="14" spans="2:17" x14ac:dyDescent="0.35">
      <c r="B14" t="s">
        <v>35</v>
      </c>
      <c r="C14" t="s">
        <v>25</v>
      </c>
      <c r="D14" s="4">
        <v>64.900000000000006</v>
      </c>
      <c r="F14" t="s">
        <v>17</v>
      </c>
      <c r="G14" t="s">
        <v>8</v>
      </c>
      <c r="H14" s="4">
        <v>89.1</v>
      </c>
      <c r="L14" s="18" t="s">
        <v>55</v>
      </c>
    </row>
    <row r="15" spans="2:17" x14ac:dyDescent="0.35">
      <c r="B15" t="s">
        <v>23</v>
      </c>
      <c r="C15" t="s">
        <v>19</v>
      </c>
      <c r="D15" s="4">
        <v>73.3</v>
      </c>
      <c r="F15" t="s">
        <v>14</v>
      </c>
      <c r="G15" t="s">
        <v>8</v>
      </c>
      <c r="H15" s="4">
        <v>76.400000000000006</v>
      </c>
      <c r="L15" t="s">
        <v>59</v>
      </c>
      <c r="N15" s="1"/>
      <c r="O15" s="1"/>
      <c r="P15" s="1"/>
      <c r="Q15" s="1"/>
    </row>
    <row r="16" spans="2:17" x14ac:dyDescent="0.35">
      <c r="B16" t="s">
        <v>10</v>
      </c>
      <c r="C16" t="s">
        <v>8</v>
      </c>
      <c r="D16" s="4">
        <v>95.3</v>
      </c>
      <c r="K16" t="s">
        <v>54</v>
      </c>
      <c r="L16" t="s">
        <v>59</v>
      </c>
    </row>
    <row r="17" spans="2:15" x14ac:dyDescent="0.35">
      <c r="B17" t="s">
        <v>9</v>
      </c>
      <c r="C17" t="s">
        <v>8</v>
      </c>
      <c r="D17" s="4">
        <v>91</v>
      </c>
      <c r="K17" s="13" t="s">
        <v>56</v>
      </c>
      <c r="L17" s="13" t="s">
        <v>61</v>
      </c>
      <c r="M17" s="13"/>
      <c r="N17" s="13"/>
      <c r="O17" s="13"/>
    </row>
    <row r="18" spans="2:15" x14ac:dyDescent="0.35">
      <c r="B18" t="s">
        <v>15</v>
      </c>
      <c r="C18" t="s">
        <v>8</v>
      </c>
      <c r="D18" s="4">
        <v>87.1</v>
      </c>
    </row>
    <row r="19" spans="2:15" x14ac:dyDescent="0.35">
      <c r="B19" t="s">
        <v>12</v>
      </c>
      <c r="C19" t="s">
        <v>8</v>
      </c>
      <c r="D19" s="4">
        <v>54.9</v>
      </c>
    </row>
    <row r="21" spans="2:15" x14ac:dyDescent="0.35">
      <c r="B21" s="10" t="s">
        <v>0</v>
      </c>
      <c r="C21" s="10" t="s">
        <v>1</v>
      </c>
      <c r="D21" s="10" t="s">
        <v>6</v>
      </c>
    </row>
    <row r="22" spans="2:15" x14ac:dyDescent="0.35">
      <c r="B22" t="s">
        <v>38</v>
      </c>
      <c r="C22" t="s">
        <v>25</v>
      </c>
      <c r="D22" s="4">
        <v>95.9</v>
      </c>
    </row>
    <row r="23" spans="2:15" x14ac:dyDescent="0.35">
      <c r="B23" t="s">
        <v>31</v>
      </c>
      <c r="C23" t="s">
        <v>25</v>
      </c>
      <c r="D23" s="4">
        <v>91.7</v>
      </c>
    </row>
    <row r="24" spans="2:15" x14ac:dyDescent="0.35">
      <c r="B24" t="s">
        <v>32</v>
      </c>
      <c r="C24" t="s">
        <v>25</v>
      </c>
      <c r="D24" s="4">
        <v>63.8</v>
      </c>
    </row>
    <row r="25" spans="2:15" x14ac:dyDescent="0.35">
      <c r="B25" t="s">
        <v>36</v>
      </c>
      <c r="C25" t="s">
        <v>25</v>
      </c>
      <c r="D25" s="4">
        <v>53.5</v>
      </c>
    </row>
    <row r="26" spans="2:15" x14ac:dyDescent="0.35">
      <c r="B26" t="s">
        <v>37</v>
      </c>
      <c r="C26" t="s">
        <v>25</v>
      </c>
      <c r="D26" s="4">
        <v>31.9</v>
      </c>
    </row>
  </sheetData>
  <mergeCells count="1">
    <mergeCell ref="L11:Q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0E5D6-7A76-4E6F-A0DD-59D4DB683A8B}">
  <dimension ref="B2:T50"/>
  <sheetViews>
    <sheetView tabSelected="1" zoomScaleNormal="100" workbookViewId="0">
      <selection activeCell="F15" sqref="F15"/>
    </sheetView>
  </sheetViews>
  <sheetFormatPr defaultRowHeight="14.5" x14ac:dyDescent="0.35"/>
  <cols>
    <col min="1" max="1" width="4.6328125" customWidth="1"/>
    <col min="2" max="2" width="9.08984375" bestFit="1" customWidth="1"/>
    <col min="3" max="3" width="15.54296875" bestFit="1" customWidth="1"/>
    <col min="4" max="4" width="15.1796875" customWidth="1"/>
    <col min="5" max="5" width="4.36328125" customWidth="1"/>
    <col min="6" max="6" width="14.453125" customWidth="1"/>
    <col min="7" max="7" width="17.1796875" customWidth="1"/>
    <col min="8" max="8" width="13.36328125" customWidth="1"/>
    <col min="9" max="9" width="4.6328125" customWidth="1"/>
    <col min="11" max="11" width="15.26953125" bestFit="1" customWidth="1"/>
    <col min="12" max="12" width="14.81640625" bestFit="1" customWidth="1"/>
    <col min="13" max="13" width="4.453125" customWidth="1"/>
    <col min="14" max="14" width="9.26953125" bestFit="1" customWidth="1"/>
    <col min="15" max="15" width="15.26953125" bestFit="1" customWidth="1"/>
    <col min="16" max="16" width="10.1796875" bestFit="1" customWidth="1"/>
    <col min="17" max="17" width="3.6328125" customWidth="1"/>
    <col min="18" max="18" width="9.26953125" bestFit="1" customWidth="1"/>
    <col min="19" max="19" width="11.453125" bestFit="1" customWidth="1"/>
    <col min="20" max="20" width="14.26953125" customWidth="1"/>
  </cols>
  <sheetData>
    <row r="2" spans="2:20" x14ac:dyDescent="0.35">
      <c r="B2" s="10" t="s">
        <v>0</v>
      </c>
      <c r="C2" s="10" t="s">
        <v>1</v>
      </c>
      <c r="D2" s="10" t="s">
        <v>2</v>
      </c>
      <c r="F2" s="10" t="s">
        <v>0</v>
      </c>
      <c r="G2" s="10" t="s">
        <v>1</v>
      </c>
      <c r="H2" s="10" t="s">
        <v>3</v>
      </c>
      <c r="J2" s="10" t="s">
        <v>0</v>
      </c>
      <c r="K2" s="10" t="s">
        <v>1</v>
      </c>
      <c r="L2" s="10" t="s">
        <v>4</v>
      </c>
      <c r="N2" s="10" t="s">
        <v>0</v>
      </c>
      <c r="O2" s="10" t="s">
        <v>1</v>
      </c>
      <c r="P2" s="10" t="s">
        <v>5</v>
      </c>
      <c r="R2" s="10" t="s">
        <v>0</v>
      </c>
      <c r="S2" s="10" t="s">
        <v>1</v>
      </c>
      <c r="T2" s="10" t="s">
        <v>6</v>
      </c>
    </row>
    <row r="3" spans="2:20" x14ac:dyDescent="0.35">
      <c r="B3" t="s">
        <v>11</v>
      </c>
      <c r="C3" t="s">
        <v>8</v>
      </c>
      <c r="D3" s="4">
        <v>98.5</v>
      </c>
      <c r="F3" t="s">
        <v>7</v>
      </c>
      <c r="G3" t="s">
        <v>8</v>
      </c>
      <c r="H3" s="4">
        <v>83.4</v>
      </c>
      <c r="J3" t="s">
        <v>27</v>
      </c>
      <c r="K3" t="s">
        <v>25</v>
      </c>
      <c r="L3" s="4">
        <v>86</v>
      </c>
      <c r="N3" t="s">
        <v>28</v>
      </c>
      <c r="O3" t="s">
        <v>25</v>
      </c>
      <c r="P3" s="4">
        <v>96.9</v>
      </c>
      <c r="R3" t="s">
        <v>38</v>
      </c>
      <c r="S3" t="s">
        <v>25</v>
      </c>
      <c r="T3" s="4">
        <v>95.9</v>
      </c>
    </row>
    <row r="4" spans="2:20" x14ac:dyDescent="0.35">
      <c r="B4" t="s">
        <v>16</v>
      </c>
      <c r="C4" t="s">
        <v>8</v>
      </c>
      <c r="D4" s="4">
        <v>96.8</v>
      </c>
      <c r="F4" t="s">
        <v>13</v>
      </c>
      <c r="G4" t="s">
        <v>8</v>
      </c>
      <c r="H4" s="4">
        <v>84.7</v>
      </c>
      <c r="J4" t="s">
        <v>24</v>
      </c>
      <c r="K4" t="s">
        <v>25</v>
      </c>
      <c r="L4" s="4">
        <v>74.900000000000006</v>
      </c>
      <c r="N4" t="s">
        <v>21</v>
      </c>
      <c r="O4" t="s">
        <v>19</v>
      </c>
      <c r="P4" s="4">
        <v>43.9</v>
      </c>
      <c r="R4" t="s">
        <v>31</v>
      </c>
      <c r="S4" t="s">
        <v>25</v>
      </c>
      <c r="T4" s="4">
        <v>91.7</v>
      </c>
    </row>
    <row r="5" spans="2:20" x14ac:dyDescent="0.35">
      <c r="B5" t="s">
        <v>20</v>
      </c>
      <c r="C5" t="s">
        <v>19</v>
      </c>
      <c r="D5" s="4">
        <v>76.7</v>
      </c>
      <c r="F5" t="s">
        <v>18</v>
      </c>
      <c r="G5" t="s">
        <v>19</v>
      </c>
      <c r="H5" s="4">
        <v>46</v>
      </c>
      <c r="J5" t="s">
        <v>35</v>
      </c>
      <c r="K5" t="s">
        <v>25</v>
      </c>
      <c r="L5" s="4">
        <v>64.900000000000006</v>
      </c>
      <c r="N5" t="s">
        <v>17</v>
      </c>
      <c r="O5" t="s">
        <v>8</v>
      </c>
      <c r="P5" s="4">
        <v>89.1</v>
      </c>
      <c r="R5" t="s">
        <v>32</v>
      </c>
      <c r="S5" t="s">
        <v>25</v>
      </c>
      <c r="T5" s="4">
        <v>63.8</v>
      </c>
    </row>
    <row r="6" spans="2:20" x14ac:dyDescent="0.35">
      <c r="B6" t="s">
        <v>29</v>
      </c>
      <c r="C6" t="s">
        <v>25</v>
      </c>
      <c r="D6" s="4">
        <v>83.9</v>
      </c>
      <c r="F6" t="s">
        <v>22</v>
      </c>
      <c r="G6" t="s">
        <v>19</v>
      </c>
      <c r="H6" s="4">
        <v>60.3</v>
      </c>
      <c r="J6" t="s">
        <v>23</v>
      </c>
      <c r="K6" t="s">
        <v>19</v>
      </c>
      <c r="L6" s="4">
        <v>73.3</v>
      </c>
      <c r="N6" t="s">
        <v>14</v>
      </c>
      <c r="O6" t="s">
        <v>8</v>
      </c>
      <c r="P6" s="4">
        <v>76.400000000000006</v>
      </c>
      <c r="R6" t="s">
        <v>36</v>
      </c>
      <c r="S6" t="s">
        <v>25</v>
      </c>
      <c r="T6" s="4">
        <v>53.5</v>
      </c>
    </row>
    <row r="7" spans="2:20" x14ac:dyDescent="0.35">
      <c r="B7" t="s">
        <v>30</v>
      </c>
      <c r="C7" t="s">
        <v>25</v>
      </c>
      <c r="D7" s="4">
        <v>70</v>
      </c>
      <c r="F7" t="s">
        <v>26</v>
      </c>
      <c r="G7" t="s">
        <v>25</v>
      </c>
      <c r="H7" s="4">
        <v>99</v>
      </c>
      <c r="J7" t="s">
        <v>10</v>
      </c>
      <c r="K7" t="s">
        <v>8</v>
      </c>
      <c r="L7" s="4">
        <v>95.3</v>
      </c>
      <c r="R7" t="s">
        <v>37</v>
      </c>
      <c r="S7" t="s">
        <v>25</v>
      </c>
      <c r="T7" s="4">
        <v>31.9</v>
      </c>
    </row>
    <row r="8" spans="2:20" x14ac:dyDescent="0.35">
      <c r="B8" t="s">
        <v>33</v>
      </c>
      <c r="C8" t="s">
        <v>25</v>
      </c>
      <c r="D8" s="4">
        <v>57.9</v>
      </c>
      <c r="F8" t="s">
        <v>34</v>
      </c>
      <c r="G8" t="s">
        <v>25</v>
      </c>
      <c r="H8" s="4">
        <v>95.8</v>
      </c>
      <c r="J8" t="s">
        <v>9</v>
      </c>
      <c r="K8" t="s">
        <v>8</v>
      </c>
      <c r="L8" s="4">
        <v>91</v>
      </c>
    </row>
    <row r="9" spans="2:20" x14ac:dyDescent="0.35">
      <c r="J9" t="s">
        <v>15</v>
      </c>
      <c r="K9" t="s">
        <v>8</v>
      </c>
      <c r="L9" s="4">
        <v>87.1</v>
      </c>
    </row>
    <row r="10" spans="2:20" x14ac:dyDescent="0.35">
      <c r="J10" t="s">
        <v>12</v>
      </c>
      <c r="K10" t="s">
        <v>8</v>
      </c>
      <c r="L10" s="4">
        <v>54.9</v>
      </c>
    </row>
    <row r="35" spans="5:11" x14ac:dyDescent="0.35">
      <c r="F35" t="s">
        <v>39</v>
      </c>
      <c r="G35" t="s">
        <v>41</v>
      </c>
      <c r="H35" t="s">
        <v>40</v>
      </c>
      <c r="I35" s="12" t="s">
        <v>48</v>
      </c>
    </row>
    <row r="36" spans="5:11" x14ac:dyDescent="0.35">
      <c r="E36" t="s">
        <v>42</v>
      </c>
      <c r="F36">
        <v>2</v>
      </c>
      <c r="G36">
        <v>1</v>
      </c>
      <c r="H36">
        <v>3</v>
      </c>
      <c r="I36" s="12">
        <v>6</v>
      </c>
    </row>
    <row r="37" spans="5:11" x14ac:dyDescent="0.35">
      <c r="E37" t="s">
        <v>43</v>
      </c>
      <c r="F37">
        <v>2</v>
      </c>
      <c r="G37">
        <v>2</v>
      </c>
      <c r="H37">
        <v>2</v>
      </c>
      <c r="I37" s="12">
        <v>6</v>
      </c>
    </row>
    <row r="38" spans="5:11" x14ac:dyDescent="0.35">
      <c r="E38" t="s">
        <v>44</v>
      </c>
      <c r="F38">
        <v>4</v>
      </c>
      <c r="G38">
        <v>1</v>
      </c>
      <c r="H38">
        <v>3</v>
      </c>
      <c r="I38" s="12">
        <v>8</v>
      </c>
    </row>
    <row r="39" spans="5:11" x14ac:dyDescent="0.35">
      <c r="E39" t="s">
        <v>45</v>
      </c>
      <c r="F39">
        <v>2</v>
      </c>
      <c r="G39">
        <v>1</v>
      </c>
      <c r="H39">
        <v>1</v>
      </c>
      <c r="I39" s="12">
        <v>4</v>
      </c>
    </row>
    <row r="40" spans="5:11" x14ac:dyDescent="0.35">
      <c r="E40" t="s">
        <v>46</v>
      </c>
      <c r="F40">
        <v>0</v>
      </c>
      <c r="G40">
        <v>0</v>
      </c>
      <c r="H40">
        <v>5</v>
      </c>
      <c r="I40" s="12">
        <v>5</v>
      </c>
    </row>
    <row r="41" spans="5:11" ht="15" thickBot="1" x14ac:dyDescent="0.4">
      <c r="E41" s="11" t="s">
        <v>47</v>
      </c>
      <c r="F41" s="11">
        <v>10</v>
      </c>
      <c r="G41" s="11">
        <v>5</v>
      </c>
      <c r="H41" s="11">
        <v>14</v>
      </c>
    </row>
    <row r="42" spans="5:11" ht="15" thickTop="1" x14ac:dyDescent="0.35"/>
    <row r="44" spans="5:11" x14ac:dyDescent="0.35">
      <c r="E44" t="s">
        <v>49</v>
      </c>
      <c r="F44" s="23" t="s">
        <v>53</v>
      </c>
      <c r="G44" s="23"/>
      <c r="H44" s="23"/>
      <c r="I44" s="23"/>
      <c r="J44" s="23"/>
      <c r="K44" s="23"/>
    </row>
    <row r="45" spans="5:11" x14ac:dyDescent="0.35">
      <c r="E45" t="s">
        <v>50</v>
      </c>
      <c r="F45" t="s">
        <v>51</v>
      </c>
    </row>
    <row r="46" spans="5:11" x14ac:dyDescent="0.35">
      <c r="F46" t="s">
        <v>52</v>
      </c>
    </row>
    <row r="47" spans="5:11" x14ac:dyDescent="0.35">
      <c r="F47" s="18" t="s">
        <v>55</v>
      </c>
    </row>
    <row r="48" spans="5:11" x14ac:dyDescent="0.35">
      <c r="F48" t="s">
        <v>59</v>
      </c>
      <c r="H48" s="1"/>
      <c r="I48" s="1"/>
      <c r="J48" s="1"/>
      <c r="K48" s="1"/>
    </row>
    <row r="49" spans="5:9" x14ac:dyDescent="0.35">
      <c r="E49" t="s">
        <v>54</v>
      </c>
      <c r="F49" t="s">
        <v>59</v>
      </c>
    </row>
    <row r="50" spans="5:9" x14ac:dyDescent="0.35">
      <c r="E50" s="13" t="s">
        <v>56</v>
      </c>
      <c r="F50" s="13" t="s">
        <v>61</v>
      </c>
      <c r="G50" s="13"/>
      <c r="H50" s="13"/>
      <c r="I50" s="13"/>
    </row>
  </sheetData>
  <mergeCells count="1">
    <mergeCell ref="F44:K4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67D3B-F48D-486C-96F8-0F8805A7B8A0}">
  <dimension ref="B2:H5"/>
  <sheetViews>
    <sheetView zoomScaleNormal="100" workbookViewId="0">
      <selection activeCell="G21" sqref="G21"/>
    </sheetView>
  </sheetViews>
  <sheetFormatPr defaultRowHeight="14.5" x14ac:dyDescent="0.35"/>
  <cols>
    <col min="2" max="2" width="11.453125" customWidth="1"/>
    <col min="3" max="3" width="11.26953125" bestFit="1" customWidth="1"/>
    <col min="4" max="8" width="9.81640625" bestFit="1" customWidth="1"/>
  </cols>
  <sheetData>
    <row r="2" spans="2:8" x14ac:dyDescent="0.35">
      <c r="B2" s="10" t="s">
        <v>0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</row>
    <row r="3" spans="2:8" x14ac:dyDescent="0.35">
      <c r="B3" t="s">
        <v>7</v>
      </c>
      <c r="C3" t="s">
        <v>8</v>
      </c>
      <c r="D3" s="14">
        <v>68.8</v>
      </c>
      <c r="E3" s="14">
        <v>83.4</v>
      </c>
      <c r="F3">
        <v>19.8</v>
      </c>
      <c r="G3" s="13">
        <v>38.200000000000003</v>
      </c>
      <c r="H3" s="14">
        <v>84</v>
      </c>
    </row>
    <row r="4" spans="2:8" x14ac:dyDescent="0.35">
      <c r="B4" t="s">
        <v>9</v>
      </c>
      <c r="C4" t="s">
        <v>8</v>
      </c>
      <c r="D4" s="13">
        <v>69.2</v>
      </c>
      <c r="E4" s="14">
        <v>83</v>
      </c>
      <c r="F4" s="14">
        <v>91</v>
      </c>
      <c r="G4">
        <v>56.2</v>
      </c>
      <c r="H4" s="14">
        <v>79.8</v>
      </c>
    </row>
    <row r="5" spans="2:8" x14ac:dyDescent="0.35">
      <c r="B5" t="s">
        <v>10</v>
      </c>
      <c r="C5" t="s">
        <v>8</v>
      </c>
      <c r="D5" s="14">
        <v>19.8</v>
      </c>
      <c r="E5" s="14">
        <v>33.200000000000003</v>
      </c>
      <c r="F5" s="14">
        <v>95.3</v>
      </c>
      <c r="G5" s="14">
        <v>57.9</v>
      </c>
      <c r="H5" s="13">
        <v>12.4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75ADE-03D3-4D0A-807B-37E1A793A03E}">
  <dimension ref="B3:AE12"/>
  <sheetViews>
    <sheetView workbookViewId="0">
      <selection activeCell="D13" sqref="D13"/>
    </sheetView>
  </sheetViews>
  <sheetFormatPr defaultRowHeight="14.5" x14ac:dyDescent="0.35"/>
  <cols>
    <col min="2" max="2" width="11.453125" bestFit="1" customWidth="1"/>
    <col min="3" max="12" width="11.7265625" bestFit="1" customWidth="1"/>
    <col min="13" max="17" width="15.26953125" bestFit="1" customWidth="1"/>
  </cols>
  <sheetData>
    <row r="3" spans="2:31" x14ac:dyDescent="0.35">
      <c r="B3" s="2" t="s">
        <v>0</v>
      </c>
      <c r="C3" t="s">
        <v>7</v>
      </c>
      <c r="D3" t="s">
        <v>9</v>
      </c>
      <c r="E3" t="s">
        <v>10</v>
      </c>
      <c r="F3" t="s">
        <v>11</v>
      </c>
      <c r="G3" t="s">
        <v>12</v>
      </c>
      <c r="H3" t="s">
        <v>13</v>
      </c>
      <c r="I3" t="s">
        <v>14</v>
      </c>
      <c r="J3" t="s">
        <v>15</v>
      </c>
      <c r="K3" t="s">
        <v>16</v>
      </c>
      <c r="L3" t="s">
        <v>17</v>
      </c>
      <c r="M3" t="s">
        <v>18</v>
      </c>
      <c r="N3" t="s">
        <v>20</v>
      </c>
      <c r="O3" t="s">
        <v>21</v>
      </c>
      <c r="P3" t="s">
        <v>22</v>
      </c>
      <c r="Q3" t="s">
        <v>23</v>
      </c>
      <c r="R3" t="s">
        <v>24</v>
      </c>
      <c r="S3" t="s">
        <v>26</v>
      </c>
      <c r="T3" t="s">
        <v>27</v>
      </c>
      <c r="U3" t="s">
        <v>28</v>
      </c>
      <c r="V3" t="s">
        <v>29</v>
      </c>
      <c r="W3" t="s">
        <v>30</v>
      </c>
      <c r="X3" t="s">
        <v>31</v>
      </c>
      <c r="Y3" t="s">
        <v>32</v>
      </c>
      <c r="Z3" t="s">
        <v>33</v>
      </c>
      <c r="AA3" t="s">
        <v>34</v>
      </c>
      <c r="AB3" t="s">
        <v>35</v>
      </c>
      <c r="AC3" t="s">
        <v>36</v>
      </c>
      <c r="AD3" t="s">
        <v>37</v>
      </c>
      <c r="AE3" t="s">
        <v>38</v>
      </c>
    </row>
    <row r="4" spans="2:31" x14ac:dyDescent="0.35">
      <c r="B4" s="2" t="s">
        <v>1</v>
      </c>
      <c r="C4" t="s">
        <v>8</v>
      </c>
      <c r="D4" t="s">
        <v>8</v>
      </c>
      <c r="E4" t="s">
        <v>8</v>
      </c>
      <c r="F4" t="s">
        <v>8</v>
      </c>
      <c r="G4" t="s">
        <v>8</v>
      </c>
      <c r="H4" t="s">
        <v>8</v>
      </c>
      <c r="I4" t="s">
        <v>8</v>
      </c>
      <c r="J4" t="s">
        <v>8</v>
      </c>
      <c r="K4" t="s">
        <v>8</v>
      </c>
      <c r="L4" t="s">
        <v>8</v>
      </c>
      <c r="M4" t="s">
        <v>19</v>
      </c>
      <c r="N4" t="s">
        <v>19</v>
      </c>
      <c r="O4" t="s">
        <v>19</v>
      </c>
      <c r="P4" t="s">
        <v>19</v>
      </c>
      <c r="Q4" t="s">
        <v>19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</row>
    <row r="5" spans="2:31" x14ac:dyDescent="0.35">
      <c r="B5" s="2" t="s">
        <v>6</v>
      </c>
      <c r="C5" s="8">
        <v>84</v>
      </c>
      <c r="D5">
        <v>79.8</v>
      </c>
      <c r="E5">
        <v>57.9</v>
      </c>
      <c r="F5">
        <v>31.2</v>
      </c>
      <c r="G5" s="8">
        <v>65</v>
      </c>
      <c r="H5">
        <v>43.2</v>
      </c>
      <c r="I5">
        <v>8.6</v>
      </c>
      <c r="J5">
        <v>30.2</v>
      </c>
      <c r="K5">
        <v>22.2</v>
      </c>
      <c r="L5">
        <v>35.700000000000003</v>
      </c>
      <c r="M5" s="8">
        <v>90.3</v>
      </c>
      <c r="N5">
        <v>19.7</v>
      </c>
      <c r="O5" s="8">
        <v>84.7</v>
      </c>
      <c r="P5" s="8">
        <v>66.7</v>
      </c>
      <c r="Q5">
        <v>36.1</v>
      </c>
      <c r="R5">
        <v>18.899999999999999</v>
      </c>
      <c r="S5">
        <v>89.7</v>
      </c>
      <c r="T5">
        <v>54.7</v>
      </c>
      <c r="U5">
        <v>28.7</v>
      </c>
      <c r="V5">
        <v>46.3</v>
      </c>
      <c r="W5">
        <v>41.7</v>
      </c>
      <c r="X5" s="7">
        <v>91.7</v>
      </c>
      <c r="Y5" s="7">
        <v>63.8</v>
      </c>
      <c r="Z5">
        <v>4.8</v>
      </c>
      <c r="AA5">
        <v>29.2</v>
      </c>
      <c r="AB5">
        <v>7.1</v>
      </c>
      <c r="AC5" s="7">
        <v>53.5</v>
      </c>
      <c r="AD5" s="7">
        <v>31.9</v>
      </c>
      <c r="AE5" s="7">
        <v>95.9</v>
      </c>
    </row>
    <row r="6" spans="2:31" x14ac:dyDescent="0.35">
      <c r="B6" s="2" t="s">
        <v>3</v>
      </c>
      <c r="C6" s="4">
        <v>83.4</v>
      </c>
      <c r="D6">
        <v>83</v>
      </c>
      <c r="E6">
        <v>33.200000000000003</v>
      </c>
      <c r="F6">
        <v>84.4</v>
      </c>
      <c r="G6">
        <v>1.3</v>
      </c>
      <c r="H6" s="4">
        <v>84.7</v>
      </c>
      <c r="I6">
        <v>16.8</v>
      </c>
      <c r="J6">
        <v>24.1</v>
      </c>
      <c r="K6">
        <v>64.900000000000006</v>
      </c>
      <c r="L6">
        <v>84</v>
      </c>
      <c r="M6" s="4">
        <v>46</v>
      </c>
      <c r="N6">
        <v>52.8</v>
      </c>
      <c r="O6">
        <v>40.4</v>
      </c>
      <c r="P6" s="4">
        <v>60.3</v>
      </c>
      <c r="Q6">
        <v>45</v>
      </c>
      <c r="R6">
        <v>72.5</v>
      </c>
      <c r="S6" s="4">
        <v>99</v>
      </c>
      <c r="T6">
        <v>20.9</v>
      </c>
      <c r="U6">
        <v>22.8</v>
      </c>
      <c r="V6">
        <v>4.8</v>
      </c>
      <c r="W6">
        <v>5.9</v>
      </c>
      <c r="X6" s="8">
        <v>71.5</v>
      </c>
      <c r="Y6">
        <v>63.3</v>
      </c>
      <c r="Z6">
        <v>50.4</v>
      </c>
      <c r="AA6" s="4">
        <v>95.8</v>
      </c>
      <c r="AB6" s="8">
        <v>93.3</v>
      </c>
      <c r="AC6" s="8">
        <v>77.599999999999994</v>
      </c>
      <c r="AD6">
        <v>13.3</v>
      </c>
      <c r="AE6">
        <v>9.9</v>
      </c>
    </row>
    <row r="7" spans="2:31" x14ac:dyDescent="0.35">
      <c r="B7" s="2" t="s">
        <v>2</v>
      </c>
      <c r="C7">
        <v>68.8</v>
      </c>
      <c r="D7">
        <v>69.2</v>
      </c>
      <c r="E7">
        <v>19.8</v>
      </c>
      <c r="F7" s="3">
        <v>98.5</v>
      </c>
      <c r="G7">
        <v>39.6</v>
      </c>
      <c r="H7">
        <v>67.900000000000006</v>
      </c>
      <c r="I7">
        <v>44.5</v>
      </c>
      <c r="J7">
        <v>46.3</v>
      </c>
      <c r="K7" s="3">
        <v>96.8</v>
      </c>
      <c r="L7">
        <v>78.900000000000006</v>
      </c>
      <c r="M7" s="8">
        <v>50.9</v>
      </c>
      <c r="N7" s="3">
        <v>76.7</v>
      </c>
      <c r="O7">
        <v>28.3</v>
      </c>
      <c r="P7">
        <v>8.5</v>
      </c>
      <c r="Q7">
        <v>14.3</v>
      </c>
      <c r="R7">
        <v>47.4</v>
      </c>
      <c r="S7">
        <v>58.9</v>
      </c>
      <c r="T7">
        <v>55.1</v>
      </c>
      <c r="U7">
        <v>16.3</v>
      </c>
      <c r="V7" s="3">
        <v>83.9</v>
      </c>
      <c r="W7" s="3">
        <v>70</v>
      </c>
      <c r="X7">
        <v>52.5</v>
      </c>
      <c r="Y7">
        <v>3.4</v>
      </c>
      <c r="Z7" s="3">
        <v>57.9</v>
      </c>
      <c r="AA7">
        <v>93.4</v>
      </c>
      <c r="AB7">
        <v>33.799999999999997</v>
      </c>
      <c r="AC7">
        <v>15.6</v>
      </c>
      <c r="AD7">
        <v>17.2</v>
      </c>
      <c r="AE7">
        <v>5.0999999999999996</v>
      </c>
    </row>
    <row r="8" spans="2:31" x14ac:dyDescent="0.35">
      <c r="B8" s="2" t="s">
        <v>5</v>
      </c>
      <c r="C8">
        <v>38.200000000000003</v>
      </c>
      <c r="D8">
        <v>56.2</v>
      </c>
      <c r="E8">
        <v>12.4</v>
      </c>
      <c r="F8">
        <v>83</v>
      </c>
      <c r="G8">
        <v>26.3</v>
      </c>
      <c r="H8">
        <v>21.3</v>
      </c>
      <c r="I8" s="6">
        <v>76.400000000000006</v>
      </c>
      <c r="J8">
        <v>47.8</v>
      </c>
      <c r="K8">
        <v>78.8</v>
      </c>
      <c r="L8" s="6">
        <v>89.1</v>
      </c>
      <c r="M8">
        <v>7.4</v>
      </c>
      <c r="N8">
        <v>0.7</v>
      </c>
      <c r="O8" s="6">
        <v>43.9</v>
      </c>
      <c r="P8">
        <v>31.8</v>
      </c>
      <c r="Q8">
        <v>51.8</v>
      </c>
      <c r="R8" s="8">
        <v>84.3</v>
      </c>
      <c r="S8">
        <v>57.6</v>
      </c>
      <c r="T8">
        <v>77.8</v>
      </c>
      <c r="U8" s="6">
        <v>96.9</v>
      </c>
      <c r="V8">
        <v>58.1</v>
      </c>
      <c r="W8">
        <v>18.399999999999999</v>
      </c>
      <c r="X8">
        <v>70.3</v>
      </c>
      <c r="Y8" s="8">
        <v>70.5</v>
      </c>
      <c r="Z8" s="8">
        <v>63.4</v>
      </c>
      <c r="AA8">
        <v>81.599999999999994</v>
      </c>
      <c r="AB8">
        <v>63.2</v>
      </c>
      <c r="AC8">
        <v>5.3</v>
      </c>
      <c r="AD8">
        <v>31.2</v>
      </c>
      <c r="AE8" s="8">
        <v>85.5</v>
      </c>
    </row>
    <row r="9" spans="2:31" x14ac:dyDescent="0.35">
      <c r="B9" s="2" t="s">
        <v>4</v>
      </c>
      <c r="C9">
        <v>19.8</v>
      </c>
      <c r="D9" s="5">
        <v>91</v>
      </c>
      <c r="E9" s="5">
        <v>95.3</v>
      </c>
      <c r="F9">
        <v>7.2</v>
      </c>
      <c r="G9" s="5">
        <v>54.9</v>
      </c>
      <c r="H9">
        <v>35.700000000000003</v>
      </c>
      <c r="I9">
        <v>73.099999999999994</v>
      </c>
      <c r="J9" s="5">
        <v>87.1</v>
      </c>
      <c r="K9">
        <v>7</v>
      </c>
      <c r="L9">
        <v>22.4</v>
      </c>
      <c r="M9">
        <v>7.2</v>
      </c>
      <c r="N9">
        <v>1.3</v>
      </c>
      <c r="O9">
        <v>12.6</v>
      </c>
      <c r="P9">
        <v>27.9</v>
      </c>
      <c r="Q9" s="5">
        <v>73.3</v>
      </c>
      <c r="R9" s="5">
        <v>74.900000000000006</v>
      </c>
      <c r="S9">
        <v>92.4</v>
      </c>
      <c r="T9" s="5">
        <v>86</v>
      </c>
      <c r="U9">
        <v>82</v>
      </c>
      <c r="V9">
        <v>70.2</v>
      </c>
      <c r="W9">
        <v>26.7</v>
      </c>
      <c r="X9">
        <v>7</v>
      </c>
      <c r="Y9">
        <v>36.200000000000003</v>
      </c>
      <c r="Z9">
        <v>5.0999999999999996</v>
      </c>
      <c r="AA9">
        <v>58.4</v>
      </c>
      <c r="AB9" s="5">
        <v>64.900000000000006</v>
      </c>
      <c r="AC9">
        <v>24.3</v>
      </c>
      <c r="AD9" s="8">
        <v>48.1</v>
      </c>
      <c r="AE9">
        <v>60.4</v>
      </c>
    </row>
    <row r="10" spans="2:31" x14ac:dyDescent="0.35">
      <c r="B10" s="1"/>
      <c r="C10" s="8"/>
      <c r="G10" s="8"/>
      <c r="M10" s="8"/>
      <c r="O10" s="8"/>
      <c r="P10" s="8"/>
    </row>
    <row r="11" spans="2:31" x14ac:dyDescent="0.35">
      <c r="B11" s="1"/>
      <c r="C11" s="8"/>
      <c r="G11" s="8"/>
      <c r="M11" s="8"/>
      <c r="O11" s="8"/>
      <c r="P11" s="8"/>
    </row>
    <row r="12" spans="2:31" x14ac:dyDescent="0.35">
      <c r="B12" s="1"/>
      <c r="C12" s="8"/>
      <c r="G12" s="8"/>
      <c r="M12" s="8"/>
      <c r="O12" s="8"/>
      <c r="P12" s="8"/>
    </row>
  </sheetData>
  <autoFilter ref="B3:AE12" xr:uid="{24775ADE-03D3-4D0A-807B-37E1A793A03E}">
    <sortState xmlns:xlrd2="http://schemas.microsoft.com/office/spreadsheetml/2017/richdata2" ref="B4:AE12">
      <sortCondition descending="1" ref="C3:C1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Cluster INFO</vt:lpstr>
      <vt:lpstr>Stage 1</vt:lpstr>
      <vt:lpstr>Stage 2</vt:lpstr>
      <vt:lpstr>Stage 3</vt:lpstr>
      <vt:lpstr>Stage 4</vt:lpstr>
      <vt:lpstr>Stage 4 (2)</vt:lpstr>
      <vt:lpstr>Example case</vt:lpstr>
      <vt:lpstr>transpose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Siti Syaziyah Binti Samiri</dc:creator>
  <cp:lastModifiedBy>Siti Syaziyah Binti Samiri</cp:lastModifiedBy>
  <dcterms:created xsi:type="dcterms:W3CDTF">2026-07-20T07:28:55Z</dcterms:created>
  <dcterms:modified xsi:type="dcterms:W3CDTF">2026-07-21T06:51:02Z</dcterms:modified>
</cp:coreProperties>
</file>