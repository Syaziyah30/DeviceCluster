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tisyaziyah\source\repos\DeviceCluster\Handoff\"/>
    </mc:Choice>
  </mc:AlternateContent>
  <xr:revisionPtr revIDLastSave="0" documentId="13_ncr:1_{0D7B3882-6314-4D3C-917C-DC9E1DE93D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ull Reference" sheetId="1" r:id="rId1"/>
    <sheet name="Quick Reference" sheetId="2" r:id="rId2"/>
    <sheet name="Detail" sheetId="3" r:id="rId3"/>
  </sheets>
  <definedNames>
    <definedName name="_xlnm._FilterDatabase" localSheetId="2" hidden="1">Detail!$A$4:$F$51</definedName>
    <definedName name="_xlnm._FilterDatabase" localSheetId="0" hidden="1">'Full Reference'!$A$4:$C$60</definedName>
    <definedName name="_xlnm._FilterDatabase" localSheetId="1" hidden="1">'Quick Reference'!$A$4:$C$52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C2" i="2"/>
  <c r="C2" i="1"/>
</calcChain>
</file>

<file path=xl/sharedStrings.xml><?xml version="1.0" encoding="utf-8"?>
<sst xmlns="http://schemas.openxmlformats.org/spreadsheetml/2006/main" count="575" uniqueCount="312">
  <si>
    <t>DeviceIdentifier — API</t>
  </si>
  <si>
    <t>What you call, what you get back, what you configure. Background and internal types are on the Detail sheet.</t>
  </si>
  <si>
    <t>Entries</t>
  </si>
  <si>
    <t>Group</t>
  </si>
  <si>
    <t>Item</t>
  </si>
  <si>
    <t>What it does</t>
  </si>
  <si>
    <t>1. Construct</t>
  </si>
  <si>
    <t xml:space="preserve">var sqlReader = new PythonSQL(connectionString);
IPredictionClient client = new HttpPredictionClient(mlServiceUrl);
var logic     = new LogicAssignment(connectionString);
</t>
  </si>
  <si>
    <t>2. Run the pipeline</t>
  </si>
  <si>
    <t>var result = await DevicePipeline.RunAsync(
    sqlReader:      sqlReader,
    client:         client,
    logic:          logic,
    sqlSourceTable: "dbo.DummyTestingData",
    sqlQuotaTable:  "dbo.PatternCluster",
    sqlOutputDir:   @"...\data",
    projectCode:    "A9998",
    callbacks:      null);</t>
  </si>
  <si>
    <t>3. Read the result</t>
  </si>
  <si>
    <t>foreach (var group in result.ClusterGroups)
{
    // group.Section, group.Cluster, group.Devices
}</t>
  </si>
  <si>
    <t>Entry point — DevicePipeline.RunAsync</t>
  </si>
  <si>
    <t>sqlReader</t>
  </si>
  <si>
    <t>Supplies SQL access. Its connection string is reused for quota loading.</t>
  </si>
  <si>
    <t>client</t>
  </si>
  <si>
    <t>Supplies predictions. HttpPredictionClient calls the ML service; PythonClient runs the scripts locally.</t>
  </si>
  <si>
    <t>logic</t>
  </si>
  <si>
    <t>Performs the floating split and both SQL output writes.</t>
  </si>
  <si>
    <t>sqlSourceTable</t>
  </si>
  <si>
    <t>Table holding the device IDs, e.g. dbo.DummyTestingData.</t>
  </si>
  <si>
    <t>sqlQuotaTable</t>
  </si>
  <si>
    <t>Table holding quota patterns, e.g. dbo.PatternCluster.</t>
  </si>
  <si>
    <t>sqlOutputDir</t>
  </si>
  <si>
    <t>Scratch folder for the intermediate JSON file.</t>
  </si>
  <si>
    <t>projectCode</t>
  </si>
  <si>
    <t>Which project to process. All SQL reads are filtered by it.</t>
  </si>
  <si>
    <t>callbacks</t>
  </si>
  <si>
    <t>Optional progress hooks. Pass null to run silently.</t>
  </si>
  <si>
    <t>What you get back — DevicePipelineResult</t>
  </si>
  <si>
    <t>ClusterGroups</t>
  </si>
  <si>
    <t>List&lt;ClusterGroup&gt;  —  Assigned devices grouped by section and cluster. The main result to render.</t>
  </si>
  <si>
    <t>AssignedDevices</t>
  </si>
  <si>
    <t>List&lt;DeviceResult&gt;  —  Flat list of successfully placed devices.</t>
  </si>
  <si>
    <t>UnknownPredictionDevices</t>
  </si>
  <si>
    <t>List&lt;DeviceResult&gt;  —  Floating — the model could not classify them.</t>
  </si>
  <si>
    <t>UnallocatedDevices</t>
  </si>
  <si>
    <t>List&lt;DeviceResult&gt;  —  Floating — classified, but no quota room.</t>
  </si>
  <si>
    <t>AllocationResult</t>
  </si>
  <si>
    <t>AllocationResult  —  Vacancy report and initial deficits, for quota reporting.</t>
  </si>
  <si>
    <t>PipelineResults</t>
  </si>
  <si>
    <t>List&lt;PipelineResult&gt;  —  Raw per-device predictions including ranked TOP_CLUSTERS.</t>
  </si>
  <si>
    <t>TypeResults</t>
  </si>
  <si>
    <t>List&lt;DeviceTypeResult&gt;  —  Raw device-type predictions.</t>
  </si>
  <si>
    <t>DeviceTypeLookup</t>
  </si>
  <si>
    <t>Dictionary&lt;string,string&gt;  —  DeviceId to device type, for convenience.</t>
  </si>
  <si>
    <t>Request</t>
  </si>
  <si>
    <t>DevicePredictRequest  —  The project and customer codes that were processed.</t>
  </si>
  <si>
    <t>Progress hooks — DevicePipelineCallbacks</t>
  </si>
  <si>
    <t>OnProjectLoaded</t>
  </si>
  <si>
    <t>Device IDs have been read from SQL.</t>
  </si>
  <si>
    <t>OnDeviceTypesPredicted</t>
  </si>
  <si>
    <t>Device-type prediction finished. Includes elapsed seconds.</t>
  </si>
  <si>
    <t>OnSectionsPredicted</t>
  </si>
  <si>
    <t>Section prediction finished.</t>
  </si>
  <si>
    <t>OnClustersPredicted</t>
  </si>
  <si>
    <t>Cluster prediction finished.</t>
  </si>
  <si>
    <t>OnQuotaAllocated</t>
  </si>
  <si>
    <t>Quota allocation finished. Receives quotas and the allocation result.</t>
  </si>
  <si>
    <t>OnFloatingSplit</t>
  </si>
  <si>
    <t>Floating devices have been split by cause.</t>
  </si>
  <si>
    <t>OnClusterGroupsBuilt</t>
  </si>
  <si>
    <t>Cluster groups are ready. The final checkpoint.</t>
  </si>
  <si>
    <t>Manual correction — LogicAssignment</t>
  </si>
  <si>
    <t>SuggestTopClusters(deviceId, knownDevices, topN)</t>
  </si>
  <si>
    <t>Ranked cluster suggestions based on numeric similarity to known devices.</t>
  </si>
  <si>
    <t>AssignByNumericSimilarity(entry, knownDevices)</t>
  </si>
  <si>
    <t>Resolves an UNKNOWN section or cluster into a placeable DeviceResult. Returns null if nothing similar is found.</t>
  </si>
  <si>
    <t>PlaceDevice(device, groups)</t>
  </si>
  <si>
    <t>Places a device into a cluster group, displacing the weakest device if it scores higher.</t>
  </si>
  <si>
    <t>MarkAsAssigned(deviceId, projectCode, section, cluster)</t>
  </si>
  <si>
    <t>Sets Status = assigned on the review-queue row.</t>
  </si>
  <si>
    <t>ShowClusterSuggestion(device, knownDevices)</t>
  </si>
  <si>
    <t>Prints suggestions and the section context to the console.</t>
  </si>
  <si>
    <t>PrintClusterTable(groups)</t>
  </si>
  <si>
    <t>Prints a formatted cluster table to the console.</t>
  </si>
  <si>
    <t>Classes you construct — PythonSQL</t>
  </si>
  <si>
    <t>PythonSQL(connectionString)</t>
  </si>
  <si>
    <t>Constructor. Throws ArgumentException if the string is empty.</t>
  </si>
  <si>
    <t>ConnectionString</t>
  </si>
  <si>
    <t>Read-only property. Exposed so callers can reuse it without threading the raw string separately.</t>
  </si>
  <si>
    <t>LoadProjectDataAsync(table, projectCode, outputDir)</t>
  </si>
  <si>
    <t>Reads one project's rows, writes {ProjectCode}_devices.json, returns the JSON and the file path.</t>
  </si>
  <si>
    <t>ListAvailableProjectsAsync(table)</t>
  </si>
  <si>
    <t>Returns every distinct ProjectCode / CustomerCode pair.Useful for populating a project picker.</t>
  </si>
  <si>
    <t>QueryToJsonAsync(sql)</t>
  </si>
  <si>
    <t>Runs an arbitrary query and returns the JSON envelope.</t>
  </si>
  <si>
    <t>QueryToJsonFileAsync(sql, outputPath)</t>
  </si>
  <si>
    <t>As above, also saving to a named file.</t>
  </si>
  <si>
    <t>QueryToJsonFileByProjectCodeAsync(sql, dir)</t>
  </si>
  <si>
    <t>As above, naming the file after the ProjectCode in the results.</t>
  </si>
  <si>
    <t>Output tables — dbo.OutputDeviceAssignment</t>
  </si>
  <si>
    <t>DeviceId, ProjectCode</t>
  </si>
  <si>
    <t>Unique together. This pair is the upsert key.</t>
  </si>
  <si>
    <t>Section, Cluster</t>
  </si>
  <si>
    <t>Final placement.</t>
  </si>
  <si>
    <t>Confidence</t>
  </si>
  <si>
    <t>Model confidence for the placement.</t>
  </si>
  <si>
    <t>IsBackfill</t>
  </si>
  <si>
    <t>True if the device was placed during stage 3 rather than stage 1.</t>
  </si>
  <si>
    <t>OriginalCluster</t>
  </si>
  <si>
    <t>The model's first-choice cluster, which may differ from the final one.</t>
  </si>
  <si>
    <t>AssignedAt</t>
  </si>
  <si>
    <t>Timestamp of the run that produced the row.</t>
  </si>
  <si>
    <t>Output tables — dbo.DeviceReviewQueue</t>
  </si>
  <si>
    <t>Category</t>
  </si>
  <si>
    <t>UnknownPrediction (the model could not classify it) or Unallocated (classified, but no quota room).</t>
  </si>
  <si>
    <t>Status</t>
  </si>
  <si>
    <t>pending until a user places the device, then assigned.</t>
  </si>
  <si>
    <t>PredictedSection, PredictedCluster</t>
  </si>
  <si>
    <t>Whatever the model produced, which may be UNKNOWN.</t>
  </si>
  <si>
    <t>DumpedAt</t>
  </si>
  <si>
    <t>Configuration</t>
  </si>
  <si>
    <t>SQL_SOURCE_TABLE</t>
  </si>
  <si>
    <t>DummyTestingData</t>
  </si>
  <si>
    <t>SQL_QUOTA_TABLE</t>
  </si>
  <si>
    <t>dbo.PatternCluster</t>
  </si>
  <si>
    <t>SQL_REVIEW_QUEUE_TABLE</t>
  </si>
  <si>
    <t>dbo.DeviceReviewQueue</t>
  </si>
  <si>
    <t>SQL_ASSIGNMENT_TABLE</t>
  </si>
  <si>
    <t>dbo.OutputDeviceAssignment</t>
  </si>
  <si>
    <t>PYTHON_EXE</t>
  </si>
  <si>
    <t>python</t>
  </si>
  <si>
    <t>DeviceIdentifier — Quick Reference</t>
  </si>
  <si>
    <t>The one-page cheat sheet. Environment setup is on the Detail sheet.</t>
  </si>
  <si>
    <t>var result = await DevicePipeline.RunAsync(
    sqlReader, client, logic,
    "dbo.DummyTestingData",   // source table
    "dbo.PatternCluster",     // quota table
    @"...\data",             // scratch folder
    "A9998",                  // project code
    callbacks: null);         // optional progress hooks</t>
  </si>
  <si>
    <t>What you get back (DevicePipelineResult)</t>
  </si>
  <si>
    <t>Assigned devices grouped by section + cluster  ←  main result</t>
  </si>
  <si>
    <t>Flat list of placed devices</t>
  </si>
  <si>
    <t>Floating — model could not classify</t>
  </si>
  <si>
    <t>Floating — classified, but no quota room</t>
  </si>
  <si>
    <t>VacancyReport + InitialDeficits</t>
  </si>
  <si>
    <t>Raw predictions + ranked TOP_CLUSTERS</t>
  </si>
  <si>
    <t>Raw device-type predictions</t>
  </si>
  <si>
    <t>DeviceId → device type</t>
  </si>
  <si>
    <t>Project + customer code processed</t>
  </si>
  <si>
    <t>Where results go (written automatically)</t>
  </si>
  <si>
    <t>Assigned devices  —  Section, Cluster, Confidence, IsBackfill, OriginalCluster</t>
  </si>
  <si>
    <t>Floating devices  —  Category (UnknownPrediction | Unallocated), Status (pending | assigned)</t>
  </si>
  <si>
    <t>Classes</t>
  </si>
  <si>
    <t>DevicePipeline</t>
  </si>
  <si>
    <t>Logic  —  RunAsync(...) — the entry point. Static.</t>
  </si>
  <si>
    <t>DevicePipelineResult</t>
  </si>
  <si>
    <t>Logic  —  Everything the run produced.</t>
  </si>
  <si>
    <t>DevicePipelineCallbacks</t>
  </si>
  <si>
    <t>Logic  —  Optional progress hooks. All fields nullable.</t>
  </si>
  <si>
    <t>LogicAssignment</t>
  </si>
  <si>
    <t>Logic  —  Floating split, SQL writes, manual correction.</t>
  </si>
  <si>
    <t>ClusterQuotaAllocator</t>
  </si>
  <si>
    <t>Logic  —  Allocate(predictions, quotas). Static.</t>
  </si>
  <si>
    <t>QuotaCatalog</t>
  </si>
  <si>
    <t>Logic  —  LoadQuotasFromDbAsync(conn, table, customer). Static.</t>
  </si>
  <si>
    <t>PythonSQL</t>
  </si>
  <si>
    <t>Model  —  Reads devices from SQL. Construct and pass in.</t>
  </si>
  <si>
    <t>IPredictionClient</t>
  </si>
  <si>
    <t>Model  —  Runs the Python scripts. Construct and pass in.</t>
  </si>
  <si>
    <t>ModelClusterSuggestionService</t>
  </si>
  <si>
    <t>Model  —  Model's own top-N cluster probabilities.</t>
  </si>
  <si>
    <t>LogicAssignment — methods</t>
  </si>
  <si>
    <t>SplitFloatingPool(floating)</t>
  </si>
  <si>
    <t>Splits floating into unknown / unallocated  —  auto</t>
  </si>
  <si>
    <t>DumpFloating(devices)</t>
  </si>
  <si>
    <t>Upserts Category = UnknownPrediction  —  auto</t>
  </si>
  <si>
    <t>DumpUnallocated(devices)</t>
  </si>
  <si>
    <t>Upserts Category = Unallocated  —  auto</t>
  </si>
  <si>
    <t>DumpAssigned(devices, allocated)</t>
  </si>
  <si>
    <t>Upserts assigned devices  —  auto</t>
  </si>
  <si>
    <t>BuildClusterGroups(devices)</t>
  </si>
  <si>
    <t>Groups by section + cluster  —  auto</t>
  </si>
  <si>
    <t>SuggestTopClusters(id, known, topN)</t>
  </si>
  <si>
    <t>Ranked suggestions by similarity  —  manual</t>
  </si>
  <si>
    <t>AssignByNumericSimilarity(entry, known)</t>
  </si>
  <si>
    <t>Resolves UNKNOWN → DeviceResult (null if none)  —  manual</t>
  </si>
  <si>
    <t>Places device, displaces weakest if higher  —  manual</t>
  </si>
  <si>
    <t>MarkAsAssigned(id, project, sec, clu)</t>
  </si>
  <si>
    <t>Sets Status = assigned  —  manual</t>
  </si>
  <si>
    <t>Progress hooks (DevicePipelineCallbacks)</t>
  </si>
  <si>
    <t>Devices read from SQL</t>
  </si>
  <si>
    <t>Device type predicted  (+ elapsed secs)</t>
  </si>
  <si>
    <t>OnSectionsPredicted  /  OnClustersPredicted</t>
  </si>
  <si>
    <t>Section / cluster predicted</t>
  </si>
  <si>
    <t>Quota allocation done</t>
  </si>
  <si>
    <t>Floating split by cause</t>
  </si>
  <si>
    <t>Cluster groups ready  ←  final</t>
  </si>
  <si>
    <t>Config (defaults — override as parameters)</t>
  </si>
  <si>
    <t>Watch out</t>
  </si>
  <si>
    <t>Ship both DLLs</t>
  </si>
  <si>
    <t>Logic.dll alone fails at load time.</t>
  </si>
  <si>
    <t>Quota data</t>
  </si>
  <si>
    <t>SECTION 2 is real; sections 1, 3–8 are placeholder values.</t>
  </si>
  <si>
    <t>Console methods</t>
  </si>
  <si>
    <t>ShowClusterSuggestion / PrintClusterTable print to console — use returned objects in a UI.</t>
  </si>
  <si>
    <t>Case sensitivity</t>
  </si>
  <si>
    <t>DeviceId / ProjectCode comparisons are case-sensitive in some paths.</t>
  </si>
  <si>
    <t>Throws</t>
  </si>
  <si>
    <t>InvalidOperationException if no rows for the project, or no quota for the customer.</t>
  </si>
  <si>
    <t>DeviceIdentifier — Detail</t>
  </si>
  <si>
    <t>Everything not needed to write a call: architecture, setup, internal types, and methods the pipeline calls for you.</t>
  </si>
  <si>
    <t>Source</t>
  </si>
  <si>
    <t>Section</t>
  </si>
  <si>
    <t>Subsection</t>
  </si>
  <si>
    <t>Detail</t>
  </si>
  <si>
    <t>Extra</t>
  </si>
  <si>
    <t>Full Reference</t>
  </si>
  <si>
    <t>1. Overview</t>
  </si>
  <si>
    <t>1.1 The two libraries</t>
  </si>
  <si>
    <t>Model.dll</t>
  </si>
  <si>
    <t>Infrastructure</t>
  </si>
  <si>
    <t>Reads device data from SQL Server; launches the Python prediction scripts and returns their raw output.</t>
  </si>
  <si>
    <t>Logic.dll</t>
  </si>
  <si>
    <t>Business rules</t>
  </si>
  <si>
    <t>Quota allocation, cluster placement, floating-device handling, and writing both outcomes back to SQL.</t>
  </si>
  <si>
    <t>1.3 Processing sequence</t>
  </si>
  <si>
    <t>1</t>
  </si>
  <si>
    <t>Read the project's device IDs from the source table</t>
  </si>
  <si>
    <t>2</t>
  </si>
  <si>
    <t>Predict device type (prefix dictionary)</t>
  </si>
  <si>
    <t>Model.dll -&gt; Python</t>
  </si>
  <si>
    <t>3</t>
  </si>
  <si>
    <t>Predict section and cluster (XGBoost)</t>
  </si>
  <si>
    <t>4</t>
  </si>
  <si>
    <t>Load quota patterns for the customer</t>
  </si>
  <si>
    <t>5</t>
  </si>
  <si>
    <t>Allocate against quotas (stages 1-3)</t>
  </si>
  <si>
    <t>6</t>
  </si>
  <si>
    <t>Split the unplaced devices by cause</t>
  </si>
  <si>
    <t>7</t>
  </si>
  <si>
    <t>Write both outcomes to SQL</t>
  </si>
  <si>
    <t>2. Getting started</t>
  </si>
  <si>
    <t>2.1 Prerequisites</t>
  </si>
  <si>
    <t>.NET 10 runtime</t>
  </si>
  <si>
    <t>Windows x64 only. Model.dll is built with RuntimeIdentifier=win-x64 and SelfContained=false, so the runtime must be installed on the machine — it is not embedded.</t>
  </si>
  <si>
    <t>Python 3.13</t>
  </si>
  <si>
    <t>Required by the prediction scripts. Install the packages listed in requirements.txt.</t>
  </si>
  <si>
    <t>SQL Server</t>
  </si>
  <si>
    <t>Access to the XenCreator database.</t>
  </si>
  <si>
    <t>2.2 Bundle layout</t>
  </si>
  <si>
    <t>lib/</t>
  </si>
  <si>
    <t>Logic.dll, Model.dll and their dependency assemblies.</t>
  </si>
  <si>
    <t>python/</t>
  </si>
  <si>
    <t>The two prediction scripts and their trained model folders.</t>
  </si>
  <si>
    <t>sql/</t>
  </si>
  <si>
    <t>Scripts that create the required tables.</t>
  </si>
  <si>
    <t>requirements.txt</t>
  </si>
  <si>
    <t>Pinned Python package versions.</t>
  </si>
  <si>
    <t>2.3 Create the database tables</t>
  </si>
  <si>
    <t>PatternCluster.sql</t>
  </si>
  <si>
    <t>Input — quota patterns per customer</t>
  </si>
  <si>
    <t>DeviceReviewQueue.sql</t>
  </si>
  <si>
    <t>Output — devices needing review</t>
  </si>
  <si>
    <t>OutputDeviceAssignment.sql</t>
  </si>
  <si>
    <t>Output — assigned devices</t>
  </si>
  <si>
    <t>4. Logic.dll reference</t>
  </si>
  <si>
    <t>4.4 LogicAssignment / Automated methods</t>
  </si>
  <si>
    <t>Returns a tuple splitting floating devices into unknown-prediction and known-but-unallocated.</t>
  </si>
  <si>
    <t>Upserts unknown-prediction devices into the review queue with Category = UnknownPrediction.</t>
  </si>
  <si>
    <t>Upserts known-but-unallocated devices with Category = Unallocated.</t>
  </si>
  <si>
    <t>Upserts assigned devices into the assignment table.</t>
  </si>
  <si>
    <t>Groups devices by section and cluster into ClusterGroup objects.</t>
  </si>
  <si>
    <t>4.7 Data models</t>
  </si>
  <si>
    <t>DeviceResult</t>
  </si>
  <si>
    <t>A device with its customer, project, type, section, cluster and confidence.</t>
  </si>
  <si>
    <t>ClusterGroup</t>
  </si>
  <si>
    <t>A section/cluster pair and the scored devices inside it.</t>
  </si>
  <si>
    <t>ScoredDevice</t>
  </si>
  <si>
    <t>A DeviceResult paired with its score.</t>
  </si>
  <si>
    <t>DevicePrediction</t>
  </si>
  <si>
    <t>Raw prediction input to the allocator, including TopClusters candidates.</t>
  </si>
  <si>
    <t>ClusterQuota</t>
  </si>
  <si>
    <t>Target device count for one Section / Cluster / DeviceType combination.</t>
  </si>
  <si>
    <t>AllocatedDevice</t>
  </si>
  <si>
    <t>A placed device. IsBackfill marks stage-3 placements; OriginalCluster records the model's first pick.</t>
  </si>
  <si>
    <t>Assigned, Floating, InitialDeficits and VacancyReport.</t>
  </si>
  <si>
    <t>VacancyReportEntry</t>
  </si>
  <si>
    <t>One bucket and how many slots remain unfilled.</t>
  </si>
  <si>
    <t>ClusterSuggestion</t>
  </si>
  <si>
    <t>A suggested section/cluster with the closest matching device and confidence.</t>
  </si>
  <si>
    <t>UnallocatedDumpEntry</t>
  </si>
  <si>
    <t>A review-queue row awaiting manual placement.</t>
  </si>
  <si>
    <t>5. Model.dll reference</t>
  </si>
  <si>
    <t>5.4 Request and result types</t>
  </si>
  <si>
    <t>DevicePredictRequest</t>
  </si>
  <si>
    <t>project_code, customer_code and the list of data_ids.</t>
  </si>
  <si>
    <t>PipelinePredictRequest</t>
  </si>
  <si>
    <t>Wraps PipelineRecord items for the section/cluster script.</t>
  </si>
  <si>
    <t>DeviceTypeResult</t>
  </si>
  <si>
    <t>data_id, data_type, confidence, reason, manual_check.</t>
  </si>
  <si>
    <t>PipelineResult</t>
  </si>
  <si>
    <t>DEVICE_ID, PREDICTED_SECTION, PREDICTED_CLUSTER, confidences, TOP_CLUSTERS, REJECTION_REASON.</t>
  </si>
  <si>
    <t>ClusterCandidate</t>
  </si>
  <si>
    <t>One ranked candidate: Cluster and Probability.</t>
  </si>
  <si>
    <t>ClusterSuggestionResult</t>
  </si>
  <si>
    <t>Section, cluster and probability from the model.</t>
  </si>
  <si>
    <t>6. Database tables</t>
  </si>
  <si>
    <t>6.1 Inputs</t>
  </si>
  <si>
    <t>dbo.DummyTestingData</t>
  </si>
  <si>
    <t>Source device IDs. Shared across projects; every read is filtered by ProjectCode.</t>
  </si>
  <si>
    <t>Quota patterns keyed by CustomerCode, giving a TargetCount per Section / Cluster / DeviceType.</t>
  </si>
  <si>
    <t>Quick Reference</t>
  </si>
  <si>
    <t>Setup</t>
  </si>
  <si>
    <t>Runtime</t>
  </si>
  <si>
    <t>.NET 10, Windows x64 (not self-contained)</t>
  </si>
  <si>
    <t>Python</t>
  </si>
  <si>
    <t>3.13  +  pip install -r requirements.txt</t>
  </si>
  <si>
    <t>Database</t>
  </si>
  <si>
    <t>SQL Server — run all 3 scripts in sql/</t>
  </si>
  <si>
    <t>Reference</t>
  </si>
  <si>
    <t>Logic.dll only (Model.dll comes automatically)</t>
  </si>
  <si>
    <t>Keep intact</t>
  </si>
  <si>
    <t>python/ folder structure — scripts find models by relative path</t>
  </si>
  <si>
    <t xml:space="preserve">Entry point </t>
  </si>
  <si>
    <t>Entry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</si>
</sst>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A646F"/>
      <name val="Arial"/>
    </font>
    <font>
      <b/>
      <sz val="9"/>
      <color rgb="FF1F3864"/>
      <name val="Arial"/>
    </font>
    <font>
      <b/>
      <sz val="9"/>
      <color rgb="FF5A646F"/>
      <name val="Arial"/>
    </font>
    <font>
      <b/>
      <sz val="10"/>
      <color rgb="FFFFFFFF"/>
      <name val="Arial"/>
    </font>
    <font>
      <sz val="10"/>
      <color rgb="FF1F2933"/>
      <name val="Arial"/>
    </font>
    <font>
      <b/>
      <sz val="10"/>
      <color rgb="FF1F3864"/>
      <name val="Arial"/>
    </font>
    <font>
      <sz val="9.5"/>
      <color rgb="FF1F2933"/>
      <name val="Consolas"/>
    </font>
    <font>
      <sz val="10"/>
      <color rgb="FF9AA5B1"/>
      <name val="Arial"/>
    </font>
    <font>
      <sz val="9.5"/>
      <color rgb="FF1F2933"/>
      <name val="Consolas"/>
    </font>
    <font>
      <sz val="9"/>
      <color rgb="FF1F2933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B8C4D9"/>
      </bottom>
      <diagonal/>
    </border>
    <border>
      <left/>
      <right/>
      <top/>
      <bottom style="thin">
        <color rgb="FFB8C4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D8" sqref="D8"/>
    </sheetView>
  </sheetViews>
  <sheetFormatPr defaultRowHeight="14.5" x14ac:dyDescent="0.35"/>
  <cols>
    <col min="1" max="1" width="40" customWidth="1"/>
    <col min="2" max="2" width="34" customWidth="1"/>
    <col min="3" max="3" width="96" customWidth="1"/>
  </cols>
  <sheetData>
    <row r="1" spans="1:3" ht="18" customHeight="1" x14ac:dyDescent="0.4">
      <c r="A1" s="1" t="s">
        <v>0</v>
      </c>
    </row>
    <row r="2" spans="1:3" x14ac:dyDescent="0.35">
      <c r="A2" s="2" t="s">
        <v>1</v>
      </c>
      <c r="B2" s="3" t="s">
        <v>2</v>
      </c>
      <c r="C2" s="4">
        <f>COUNTA(B5:B2000)</f>
        <v>56</v>
      </c>
    </row>
    <row r="4" spans="1:3" ht="20" customHeight="1" x14ac:dyDescent="0.35">
      <c r="A4" s="5" t="s">
        <v>3</v>
      </c>
      <c r="B4" s="5" t="s">
        <v>4</v>
      </c>
      <c r="C4" s="5" t="s">
        <v>5</v>
      </c>
    </row>
    <row r="5" spans="1:3" ht="60" customHeight="1" x14ac:dyDescent="0.35">
      <c r="A5" s="18" t="s">
        <v>310</v>
      </c>
      <c r="B5" s="14" t="s">
        <v>6</v>
      </c>
      <c r="C5" s="15" t="s">
        <v>7</v>
      </c>
    </row>
    <row r="6" spans="1:3" ht="135" customHeight="1" x14ac:dyDescent="0.35">
      <c r="A6" s="19" t="s">
        <v>310</v>
      </c>
      <c r="B6" s="16" t="s">
        <v>8</v>
      </c>
      <c r="C6" s="17" t="s">
        <v>9</v>
      </c>
    </row>
    <row r="7" spans="1:3" ht="60" customHeight="1" x14ac:dyDescent="0.35">
      <c r="A7" s="19" t="s">
        <v>310</v>
      </c>
      <c r="B7" s="16" t="s">
        <v>10</v>
      </c>
      <c r="C7" s="17" t="s">
        <v>11</v>
      </c>
    </row>
    <row r="8" spans="1:3" x14ac:dyDescent="0.35">
      <c r="A8" s="6" t="s">
        <v>12</v>
      </c>
      <c r="B8" s="7" t="s">
        <v>13</v>
      </c>
      <c r="C8" s="8" t="s">
        <v>14</v>
      </c>
    </row>
    <row r="9" spans="1:3" x14ac:dyDescent="0.35">
      <c r="A9" s="9" t="s">
        <v>12</v>
      </c>
      <c r="B9" s="10" t="s">
        <v>15</v>
      </c>
      <c r="C9" s="11" t="s">
        <v>16</v>
      </c>
    </row>
    <row r="10" spans="1:3" x14ac:dyDescent="0.35">
      <c r="A10" s="9" t="s">
        <v>12</v>
      </c>
      <c r="B10" s="10" t="s">
        <v>17</v>
      </c>
      <c r="C10" s="11" t="s">
        <v>18</v>
      </c>
    </row>
    <row r="11" spans="1:3" x14ac:dyDescent="0.35">
      <c r="A11" s="9" t="s">
        <v>12</v>
      </c>
      <c r="B11" s="10" t="s">
        <v>19</v>
      </c>
      <c r="C11" s="11" t="s">
        <v>20</v>
      </c>
    </row>
    <row r="12" spans="1:3" x14ac:dyDescent="0.35">
      <c r="A12" s="9" t="s">
        <v>12</v>
      </c>
      <c r="B12" s="10" t="s">
        <v>21</v>
      </c>
      <c r="C12" s="11" t="s">
        <v>22</v>
      </c>
    </row>
    <row r="13" spans="1:3" x14ac:dyDescent="0.35">
      <c r="A13" s="9" t="s">
        <v>12</v>
      </c>
      <c r="B13" s="10" t="s">
        <v>23</v>
      </c>
      <c r="C13" s="11" t="s">
        <v>24</v>
      </c>
    </row>
    <row r="14" spans="1:3" x14ac:dyDescent="0.35">
      <c r="A14" s="9" t="s">
        <v>12</v>
      </c>
      <c r="B14" s="10" t="s">
        <v>25</v>
      </c>
      <c r="C14" s="11" t="s">
        <v>26</v>
      </c>
    </row>
    <row r="15" spans="1:3" x14ac:dyDescent="0.35">
      <c r="A15" s="9" t="s">
        <v>12</v>
      </c>
      <c r="B15" s="10" t="s">
        <v>27</v>
      </c>
      <c r="C15" s="11" t="s">
        <v>28</v>
      </c>
    </row>
    <row r="16" spans="1:3" x14ac:dyDescent="0.35">
      <c r="A16" s="6" t="s">
        <v>29</v>
      </c>
      <c r="B16" s="7" t="s">
        <v>30</v>
      </c>
      <c r="C16" s="8" t="s">
        <v>31</v>
      </c>
    </row>
    <row r="17" spans="1:3" x14ac:dyDescent="0.35">
      <c r="A17" s="9" t="s">
        <v>29</v>
      </c>
      <c r="B17" s="10" t="s">
        <v>32</v>
      </c>
      <c r="C17" s="11" t="s">
        <v>33</v>
      </c>
    </row>
    <row r="18" spans="1:3" x14ac:dyDescent="0.35">
      <c r="A18" s="9" t="s">
        <v>29</v>
      </c>
      <c r="B18" s="10" t="s">
        <v>34</v>
      </c>
      <c r="C18" s="11" t="s">
        <v>35</v>
      </c>
    </row>
    <row r="19" spans="1:3" x14ac:dyDescent="0.35">
      <c r="A19" s="9" t="s">
        <v>29</v>
      </c>
      <c r="B19" s="10" t="s">
        <v>36</v>
      </c>
      <c r="C19" s="11" t="s">
        <v>37</v>
      </c>
    </row>
    <row r="20" spans="1:3" x14ac:dyDescent="0.35">
      <c r="A20" s="9" t="s">
        <v>29</v>
      </c>
      <c r="B20" s="10" t="s">
        <v>38</v>
      </c>
      <c r="C20" s="11" t="s">
        <v>39</v>
      </c>
    </row>
    <row r="21" spans="1:3" x14ac:dyDescent="0.35">
      <c r="A21" s="9" t="s">
        <v>29</v>
      </c>
      <c r="B21" s="10" t="s">
        <v>40</v>
      </c>
      <c r="C21" s="11" t="s">
        <v>41</v>
      </c>
    </row>
    <row r="22" spans="1:3" x14ac:dyDescent="0.35">
      <c r="A22" s="9" t="s">
        <v>29</v>
      </c>
      <c r="B22" s="10" t="s">
        <v>42</v>
      </c>
      <c r="C22" s="11" t="s">
        <v>43</v>
      </c>
    </row>
    <row r="23" spans="1:3" x14ac:dyDescent="0.35">
      <c r="A23" s="9" t="s">
        <v>29</v>
      </c>
      <c r="B23" s="10" t="s">
        <v>44</v>
      </c>
      <c r="C23" s="11" t="s">
        <v>45</v>
      </c>
    </row>
    <row r="24" spans="1:3" x14ac:dyDescent="0.35">
      <c r="A24" s="9" t="s">
        <v>29</v>
      </c>
      <c r="B24" s="10" t="s">
        <v>46</v>
      </c>
      <c r="C24" s="11" t="s">
        <v>47</v>
      </c>
    </row>
    <row r="25" spans="1:3" x14ac:dyDescent="0.35">
      <c r="A25" s="6" t="s">
        <v>48</v>
      </c>
      <c r="B25" s="7" t="s">
        <v>49</v>
      </c>
      <c r="C25" s="8" t="s">
        <v>50</v>
      </c>
    </row>
    <row r="26" spans="1:3" x14ac:dyDescent="0.35">
      <c r="A26" s="9" t="s">
        <v>48</v>
      </c>
      <c r="B26" s="10" t="s">
        <v>51</v>
      </c>
      <c r="C26" s="11" t="s">
        <v>52</v>
      </c>
    </row>
    <row r="27" spans="1:3" x14ac:dyDescent="0.35">
      <c r="A27" s="9" t="s">
        <v>48</v>
      </c>
      <c r="B27" s="10" t="s">
        <v>53</v>
      </c>
      <c r="C27" s="11" t="s">
        <v>54</v>
      </c>
    </row>
    <row r="28" spans="1:3" x14ac:dyDescent="0.35">
      <c r="A28" s="9" t="s">
        <v>48</v>
      </c>
      <c r="B28" s="10" t="s">
        <v>55</v>
      </c>
      <c r="C28" s="11" t="s">
        <v>56</v>
      </c>
    </row>
    <row r="29" spans="1:3" x14ac:dyDescent="0.35">
      <c r="A29" s="9" t="s">
        <v>48</v>
      </c>
      <c r="B29" s="10" t="s">
        <v>57</v>
      </c>
      <c r="C29" s="11" t="s">
        <v>58</v>
      </c>
    </row>
    <row r="30" spans="1:3" x14ac:dyDescent="0.35">
      <c r="A30" s="9" t="s">
        <v>48</v>
      </c>
      <c r="B30" s="10" t="s">
        <v>59</v>
      </c>
      <c r="C30" s="11" t="s">
        <v>60</v>
      </c>
    </row>
    <row r="31" spans="1:3" x14ac:dyDescent="0.35">
      <c r="A31" s="9" t="s">
        <v>48</v>
      </c>
      <c r="B31" s="10" t="s">
        <v>61</v>
      </c>
      <c r="C31" s="11" t="s">
        <v>62</v>
      </c>
    </row>
    <row r="32" spans="1:3" x14ac:dyDescent="0.35">
      <c r="A32" s="6" t="s">
        <v>63</v>
      </c>
      <c r="B32" s="7" t="s">
        <v>64</v>
      </c>
      <c r="C32" s="8" t="s">
        <v>65</v>
      </c>
    </row>
    <row r="33" spans="1:3" x14ac:dyDescent="0.35">
      <c r="A33" s="9" t="s">
        <v>63</v>
      </c>
      <c r="B33" s="10" t="s">
        <v>66</v>
      </c>
      <c r="C33" s="11" t="s">
        <v>67</v>
      </c>
    </row>
    <row r="34" spans="1:3" x14ac:dyDescent="0.35">
      <c r="A34" s="9" t="s">
        <v>63</v>
      </c>
      <c r="B34" s="10" t="s">
        <v>68</v>
      </c>
      <c r="C34" s="11" t="s">
        <v>69</v>
      </c>
    </row>
    <row r="35" spans="1:3" x14ac:dyDescent="0.35">
      <c r="A35" s="9" t="s">
        <v>63</v>
      </c>
      <c r="B35" s="10" t="s">
        <v>70</v>
      </c>
      <c r="C35" s="11" t="s">
        <v>71</v>
      </c>
    </row>
    <row r="36" spans="1:3" x14ac:dyDescent="0.35">
      <c r="A36" s="9" t="s">
        <v>63</v>
      </c>
      <c r="B36" s="10" t="s">
        <v>72</v>
      </c>
      <c r="C36" s="11" t="s">
        <v>73</v>
      </c>
    </row>
    <row r="37" spans="1:3" x14ac:dyDescent="0.35">
      <c r="A37" s="9" t="s">
        <v>63</v>
      </c>
      <c r="B37" s="10" t="s">
        <v>74</v>
      </c>
      <c r="C37" s="11" t="s">
        <v>75</v>
      </c>
    </row>
    <row r="38" spans="1:3" x14ac:dyDescent="0.35">
      <c r="A38" s="6" t="s">
        <v>76</v>
      </c>
      <c r="B38" s="7" t="s">
        <v>77</v>
      </c>
      <c r="C38" s="8" t="s">
        <v>78</v>
      </c>
    </row>
    <row r="39" spans="1:3" x14ac:dyDescent="0.35">
      <c r="A39" s="9" t="s">
        <v>76</v>
      </c>
      <c r="B39" s="10" t="s">
        <v>79</v>
      </c>
      <c r="C39" s="11" t="s">
        <v>80</v>
      </c>
    </row>
    <row r="40" spans="1:3" x14ac:dyDescent="0.35">
      <c r="A40" s="9" t="s">
        <v>76</v>
      </c>
      <c r="B40" s="10" t="s">
        <v>81</v>
      </c>
      <c r="C40" s="11" t="s">
        <v>82</v>
      </c>
    </row>
    <row r="41" spans="1:3" x14ac:dyDescent="0.35">
      <c r="A41" s="9" t="s">
        <v>76</v>
      </c>
      <c r="B41" s="10" t="s">
        <v>83</v>
      </c>
      <c r="C41" s="11" t="s">
        <v>84</v>
      </c>
    </row>
    <row r="42" spans="1:3" x14ac:dyDescent="0.35">
      <c r="A42" s="9" t="s">
        <v>76</v>
      </c>
      <c r="B42" s="10" t="s">
        <v>85</v>
      </c>
      <c r="C42" s="11" t="s">
        <v>86</v>
      </c>
    </row>
    <row r="43" spans="1:3" x14ac:dyDescent="0.35">
      <c r="A43" s="9" t="s">
        <v>76</v>
      </c>
      <c r="B43" s="10" t="s">
        <v>87</v>
      </c>
      <c r="C43" s="11" t="s">
        <v>88</v>
      </c>
    </row>
    <row r="44" spans="1:3" x14ac:dyDescent="0.35">
      <c r="A44" s="9" t="s">
        <v>76</v>
      </c>
      <c r="B44" s="10" t="s">
        <v>89</v>
      </c>
      <c r="C44" s="11" t="s">
        <v>90</v>
      </c>
    </row>
    <row r="45" spans="1:3" x14ac:dyDescent="0.35">
      <c r="A45" s="6" t="s">
        <v>91</v>
      </c>
      <c r="B45" s="7" t="s">
        <v>92</v>
      </c>
      <c r="C45" s="8" t="s">
        <v>93</v>
      </c>
    </row>
    <row r="46" spans="1:3" x14ac:dyDescent="0.35">
      <c r="A46" s="9" t="s">
        <v>91</v>
      </c>
      <c r="B46" s="10" t="s">
        <v>94</v>
      </c>
      <c r="C46" s="11" t="s">
        <v>95</v>
      </c>
    </row>
    <row r="47" spans="1:3" x14ac:dyDescent="0.35">
      <c r="A47" s="9" t="s">
        <v>91</v>
      </c>
      <c r="B47" s="10" t="s">
        <v>96</v>
      </c>
      <c r="C47" s="11" t="s">
        <v>97</v>
      </c>
    </row>
    <row r="48" spans="1:3" x14ac:dyDescent="0.35">
      <c r="A48" s="9" t="s">
        <v>91</v>
      </c>
      <c r="B48" s="10" t="s">
        <v>98</v>
      </c>
      <c r="C48" s="11" t="s">
        <v>99</v>
      </c>
    </row>
    <row r="49" spans="1:3" x14ac:dyDescent="0.35">
      <c r="A49" s="9" t="s">
        <v>91</v>
      </c>
      <c r="B49" s="10" t="s">
        <v>100</v>
      </c>
      <c r="C49" s="11" t="s">
        <v>101</v>
      </c>
    </row>
    <row r="50" spans="1:3" x14ac:dyDescent="0.35">
      <c r="A50" s="9" t="s">
        <v>91</v>
      </c>
      <c r="B50" s="10" t="s">
        <v>102</v>
      </c>
      <c r="C50" s="11" t="s">
        <v>103</v>
      </c>
    </row>
    <row r="51" spans="1:3" x14ac:dyDescent="0.35">
      <c r="A51" s="6" t="s">
        <v>104</v>
      </c>
      <c r="B51" s="7" t="s">
        <v>92</v>
      </c>
      <c r="C51" s="8" t="s">
        <v>93</v>
      </c>
    </row>
    <row r="52" spans="1:3" x14ac:dyDescent="0.35">
      <c r="A52" s="9" t="s">
        <v>104</v>
      </c>
      <c r="B52" s="10" t="s">
        <v>105</v>
      </c>
      <c r="C52" s="11" t="s">
        <v>106</v>
      </c>
    </row>
    <row r="53" spans="1:3" x14ac:dyDescent="0.35">
      <c r="A53" s="9" t="s">
        <v>104</v>
      </c>
      <c r="B53" s="10" t="s">
        <v>107</v>
      </c>
      <c r="C53" s="11" t="s">
        <v>108</v>
      </c>
    </row>
    <row r="54" spans="1:3" x14ac:dyDescent="0.35">
      <c r="A54" s="9" t="s">
        <v>104</v>
      </c>
      <c r="B54" s="10" t="s">
        <v>109</v>
      </c>
      <c r="C54" s="11" t="s">
        <v>110</v>
      </c>
    </row>
    <row r="55" spans="1:3" x14ac:dyDescent="0.35">
      <c r="A55" s="9" t="s">
        <v>104</v>
      </c>
      <c r="B55" s="10" t="s">
        <v>111</v>
      </c>
      <c r="C55" s="11" t="s">
        <v>103</v>
      </c>
    </row>
    <row r="56" spans="1:3" x14ac:dyDescent="0.35">
      <c r="A56" s="6" t="s">
        <v>112</v>
      </c>
      <c r="B56" s="7" t="s">
        <v>113</v>
      </c>
      <c r="C56" s="8" t="s">
        <v>114</v>
      </c>
    </row>
    <row r="57" spans="1:3" x14ac:dyDescent="0.35">
      <c r="A57" s="9" t="s">
        <v>112</v>
      </c>
      <c r="B57" s="10" t="s">
        <v>115</v>
      </c>
      <c r="C57" s="11" t="s">
        <v>116</v>
      </c>
    </row>
    <row r="58" spans="1:3" x14ac:dyDescent="0.35">
      <c r="A58" s="9" t="s">
        <v>112</v>
      </c>
      <c r="B58" s="10" t="s">
        <v>117</v>
      </c>
      <c r="C58" s="11" t="s">
        <v>118</v>
      </c>
    </row>
    <row r="59" spans="1:3" x14ac:dyDescent="0.35">
      <c r="A59" s="9" t="s">
        <v>112</v>
      </c>
      <c r="B59" s="10" t="s">
        <v>119</v>
      </c>
      <c r="C59" s="11" t="s">
        <v>120</v>
      </c>
    </row>
    <row r="60" spans="1:3" x14ac:dyDescent="0.35">
      <c r="A60" s="9" t="s">
        <v>112</v>
      </c>
      <c r="B60" s="10" t="s">
        <v>121</v>
      </c>
      <c r="C60" s="11" t="s">
        <v>122</v>
      </c>
    </row>
  </sheetData>
  <autoFilter ref="A4:C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showGridLines="0" workbookViewId="0">
      <pane xSplit="1" ySplit="4" topLeftCell="B16" activePane="bottomRight" state="frozen"/>
      <selection pane="topRight"/>
      <selection pane="bottomLeft"/>
      <selection pane="bottomRight" activeCell="B7" sqref="B7"/>
    </sheetView>
  </sheetViews>
  <sheetFormatPr defaultRowHeight="14.5" x14ac:dyDescent="0.35"/>
  <cols>
    <col min="1" max="1" width="40" customWidth="1"/>
    <col min="2" max="2" width="34" customWidth="1"/>
    <col min="3" max="3" width="96" customWidth="1"/>
  </cols>
  <sheetData>
    <row r="1" spans="1:3" ht="18" customHeight="1" x14ac:dyDescent="0.4">
      <c r="A1" s="1" t="s">
        <v>123</v>
      </c>
    </row>
    <row r="2" spans="1:3" x14ac:dyDescent="0.35">
      <c r="A2" s="2" t="s">
        <v>124</v>
      </c>
      <c r="B2" s="3" t="s">
        <v>2</v>
      </c>
      <c r="C2" s="4">
        <f>COUNTA(B5:B2000)</f>
        <v>48</v>
      </c>
    </row>
    <row r="4" spans="1:3" ht="20" customHeight="1" x14ac:dyDescent="0.35">
      <c r="A4" s="5" t="s">
        <v>3</v>
      </c>
      <c r="B4" s="5" t="s">
        <v>4</v>
      </c>
      <c r="C4" s="5" t="s">
        <v>5</v>
      </c>
    </row>
    <row r="5" spans="1:3" ht="60" customHeight="1" x14ac:dyDescent="0.35">
      <c r="A5" s="18" t="s">
        <v>310</v>
      </c>
      <c r="B5" s="14" t="s">
        <v>6</v>
      </c>
      <c r="C5" s="15" t="s">
        <v>7</v>
      </c>
    </row>
    <row r="6" spans="1:3" ht="105" customHeight="1" x14ac:dyDescent="0.35">
      <c r="A6" s="19" t="s">
        <v>311</v>
      </c>
      <c r="B6" s="16" t="s">
        <v>8</v>
      </c>
      <c r="C6" s="17" t="s">
        <v>125</v>
      </c>
    </row>
    <row r="7" spans="1:3" ht="60" customHeight="1" x14ac:dyDescent="0.35">
      <c r="A7" s="19" t="s">
        <v>310</v>
      </c>
      <c r="B7" s="16" t="s">
        <v>10</v>
      </c>
      <c r="C7" s="17" t="s">
        <v>11</v>
      </c>
    </row>
    <row r="8" spans="1:3" x14ac:dyDescent="0.35">
      <c r="A8" s="6" t="s">
        <v>126</v>
      </c>
      <c r="B8" s="7" t="s">
        <v>30</v>
      </c>
      <c r="C8" s="8" t="s">
        <v>127</v>
      </c>
    </row>
    <row r="9" spans="1:3" x14ac:dyDescent="0.35">
      <c r="A9" s="9" t="s">
        <v>126</v>
      </c>
      <c r="B9" s="10" t="s">
        <v>32</v>
      </c>
      <c r="C9" s="11" t="s">
        <v>128</v>
      </c>
    </row>
    <row r="10" spans="1:3" x14ac:dyDescent="0.35">
      <c r="A10" s="9" t="s">
        <v>126</v>
      </c>
      <c r="B10" s="10" t="s">
        <v>34</v>
      </c>
      <c r="C10" s="11" t="s">
        <v>129</v>
      </c>
    </row>
    <row r="11" spans="1:3" x14ac:dyDescent="0.35">
      <c r="A11" s="9" t="s">
        <v>126</v>
      </c>
      <c r="B11" s="10" t="s">
        <v>36</v>
      </c>
      <c r="C11" s="11" t="s">
        <v>130</v>
      </c>
    </row>
    <row r="12" spans="1:3" x14ac:dyDescent="0.35">
      <c r="A12" s="9" t="s">
        <v>126</v>
      </c>
      <c r="B12" s="10" t="s">
        <v>38</v>
      </c>
      <c r="C12" s="11" t="s">
        <v>131</v>
      </c>
    </row>
    <row r="13" spans="1:3" x14ac:dyDescent="0.35">
      <c r="A13" s="9" t="s">
        <v>126</v>
      </c>
      <c r="B13" s="10" t="s">
        <v>40</v>
      </c>
      <c r="C13" s="11" t="s">
        <v>132</v>
      </c>
    </row>
    <row r="14" spans="1:3" x14ac:dyDescent="0.35">
      <c r="A14" s="9" t="s">
        <v>126</v>
      </c>
      <c r="B14" s="10" t="s">
        <v>42</v>
      </c>
      <c r="C14" s="11" t="s">
        <v>133</v>
      </c>
    </row>
    <row r="15" spans="1:3" x14ac:dyDescent="0.35">
      <c r="A15" s="9" t="s">
        <v>126</v>
      </c>
      <c r="B15" s="10" t="s">
        <v>44</v>
      </c>
      <c r="C15" s="11" t="s">
        <v>134</v>
      </c>
    </row>
    <row r="16" spans="1:3" x14ac:dyDescent="0.35">
      <c r="A16" s="9" t="s">
        <v>126</v>
      </c>
      <c r="B16" s="10" t="s">
        <v>46</v>
      </c>
      <c r="C16" s="11" t="s">
        <v>135</v>
      </c>
    </row>
    <row r="17" spans="1:3" x14ac:dyDescent="0.35">
      <c r="A17" s="6" t="s">
        <v>136</v>
      </c>
      <c r="B17" s="7" t="s">
        <v>120</v>
      </c>
      <c r="C17" s="8" t="s">
        <v>137</v>
      </c>
    </row>
    <row r="18" spans="1:3" x14ac:dyDescent="0.35">
      <c r="A18" s="9" t="s">
        <v>136</v>
      </c>
      <c r="B18" s="10" t="s">
        <v>118</v>
      </c>
      <c r="C18" s="11" t="s">
        <v>138</v>
      </c>
    </row>
    <row r="19" spans="1:3" x14ac:dyDescent="0.35">
      <c r="A19" s="6" t="s">
        <v>139</v>
      </c>
      <c r="B19" s="7" t="s">
        <v>140</v>
      </c>
      <c r="C19" s="8" t="s">
        <v>141</v>
      </c>
    </row>
    <row r="20" spans="1:3" x14ac:dyDescent="0.35">
      <c r="A20" s="9" t="s">
        <v>139</v>
      </c>
      <c r="B20" s="10" t="s">
        <v>142</v>
      </c>
      <c r="C20" s="11" t="s">
        <v>143</v>
      </c>
    </row>
    <row r="21" spans="1:3" x14ac:dyDescent="0.35">
      <c r="A21" s="9" t="s">
        <v>139</v>
      </c>
      <c r="B21" s="10" t="s">
        <v>144</v>
      </c>
      <c r="C21" s="11" t="s">
        <v>145</v>
      </c>
    </row>
    <row r="22" spans="1:3" x14ac:dyDescent="0.35">
      <c r="A22" s="9" t="s">
        <v>139</v>
      </c>
      <c r="B22" s="10" t="s">
        <v>146</v>
      </c>
      <c r="C22" s="11" t="s">
        <v>147</v>
      </c>
    </row>
    <row r="23" spans="1:3" x14ac:dyDescent="0.35">
      <c r="A23" s="9" t="s">
        <v>139</v>
      </c>
      <c r="B23" s="10" t="s">
        <v>148</v>
      </c>
      <c r="C23" s="11" t="s">
        <v>149</v>
      </c>
    </row>
    <row r="24" spans="1:3" x14ac:dyDescent="0.35">
      <c r="A24" s="9" t="s">
        <v>139</v>
      </c>
      <c r="B24" s="10" t="s">
        <v>150</v>
      </c>
      <c r="C24" s="11" t="s">
        <v>151</v>
      </c>
    </row>
    <row r="25" spans="1:3" x14ac:dyDescent="0.35">
      <c r="A25" s="9" t="s">
        <v>139</v>
      </c>
      <c r="B25" s="10" t="s">
        <v>152</v>
      </c>
      <c r="C25" s="11" t="s">
        <v>153</v>
      </c>
    </row>
    <row r="26" spans="1:3" x14ac:dyDescent="0.35">
      <c r="A26" s="9" t="s">
        <v>139</v>
      </c>
      <c r="B26" s="10" t="s">
        <v>154</v>
      </c>
      <c r="C26" s="11" t="s">
        <v>155</v>
      </c>
    </row>
    <row r="27" spans="1:3" x14ac:dyDescent="0.35">
      <c r="A27" s="9" t="s">
        <v>139</v>
      </c>
      <c r="B27" s="10" t="s">
        <v>156</v>
      </c>
      <c r="C27" s="11" t="s">
        <v>157</v>
      </c>
    </row>
    <row r="28" spans="1:3" x14ac:dyDescent="0.35">
      <c r="A28" s="6" t="s">
        <v>158</v>
      </c>
      <c r="B28" s="7" t="s">
        <v>159</v>
      </c>
      <c r="C28" s="8" t="s">
        <v>160</v>
      </c>
    </row>
    <row r="29" spans="1:3" x14ac:dyDescent="0.35">
      <c r="A29" s="9" t="s">
        <v>158</v>
      </c>
      <c r="B29" s="10" t="s">
        <v>161</v>
      </c>
      <c r="C29" s="11" t="s">
        <v>162</v>
      </c>
    </row>
    <row r="30" spans="1:3" x14ac:dyDescent="0.35">
      <c r="A30" s="9" t="s">
        <v>158</v>
      </c>
      <c r="B30" s="10" t="s">
        <v>163</v>
      </c>
      <c r="C30" s="11" t="s">
        <v>164</v>
      </c>
    </row>
    <row r="31" spans="1:3" x14ac:dyDescent="0.35">
      <c r="A31" s="9" t="s">
        <v>158</v>
      </c>
      <c r="B31" s="10" t="s">
        <v>165</v>
      </c>
      <c r="C31" s="11" t="s">
        <v>166</v>
      </c>
    </row>
    <row r="32" spans="1:3" x14ac:dyDescent="0.35">
      <c r="A32" s="9" t="s">
        <v>158</v>
      </c>
      <c r="B32" s="10" t="s">
        <v>167</v>
      </c>
      <c r="C32" s="11" t="s">
        <v>168</v>
      </c>
    </row>
    <row r="33" spans="1:3" x14ac:dyDescent="0.35">
      <c r="A33" s="9" t="s">
        <v>158</v>
      </c>
      <c r="B33" s="10" t="s">
        <v>169</v>
      </c>
      <c r="C33" s="11" t="s">
        <v>170</v>
      </c>
    </row>
    <row r="34" spans="1:3" x14ac:dyDescent="0.35">
      <c r="A34" s="9" t="s">
        <v>158</v>
      </c>
      <c r="B34" s="10" t="s">
        <v>171</v>
      </c>
      <c r="C34" s="11" t="s">
        <v>172</v>
      </c>
    </row>
    <row r="35" spans="1:3" x14ac:dyDescent="0.35">
      <c r="A35" s="9" t="s">
        <v>158</v>
      </c>
      <c r="B35" s="10" t="s">
        <v>68</v>
      </c>
      <c r="C35" s="11" t="s">
        <v>173</v>
      </c>
    </row>
    <row r="36" spans="1:3" x14ac:dyDescent="0.35">
      <c r="A36" s="9" t="s">
        <v>158</v>
      </c>
      <c r="B36" s="10" t="s">
        <v>174</v>
      </c>
      <c r="C36" s="11" t="s">
        <v>175</v>
      </c>
    </row>
    <row r="37" spans="1:3" x14ac:dyDescent="0.35">
      <c r="A37" s="6" t="s">
        <v>176</v>
      </c>
      <c r="B37" s="7" t="s">
        <v>49</v>
      </c>
      <c r="C37" s="8" t="s">
        <v>177</v>
      </c>
    </row>
    <row r="38" spans="1:3" x14ac:dyDescent="0.35">
      <c r="A38" s="9" t="s">
        <v>176</v>
      </c>
      <c r="B38" s="10" t="s">
        <v>51</v>
      </c>
      <c r="C38" s="11" t="s">
        <v>178</v>
      </c>
    </row>
    <row r="39" spans="1:3" x14ac:dyDescent="0.35">
      <c r="A39" s="9" t="s">
        <v>176</v>
      </c>
      <c r="B39" s="10" t="s">
        <v>179</v>
      </c>
      <c r="C39" s="11" t="s">
        <v>180</v>
      </c>
    </row>
    <row r="40" spans="1:3" x14ac:dyDescent="0.35">
      <c r="A40" s="9" t="s">
        <v>176</v>
      </c>
      <c r="B40" s="10" t="s">
        <v>57</v>
      </c>
      <c r="C40" s="11" t="s">
        <v>181</v>
      </c>
    </row>
    <row r="41" spans="1:3" x14ac:dyDescent="0.35">
      <c r="A41" s="9" t="s">
        <v>176</v>
      </c>
      <c r="B41" s="10" t="s">
        <v>59</v>
      </c>
      <c r="C41" s="11" t="s">
        <v>182</v>
      </c>
    </row>
    <row r="42" spans="1:3" x14ac:dyDescent="0.35">
      <c r="A42" s="9" t="s">
        <v>176</v>
      </c>
      <c r="B42" s="10" t="s">
        <v>61</v>
      </c>
      <c r="C42" s="11" t="s">
        <v>183</v>
      </c>
    </row>
    <row r="43" spans="1:3" x14ac:dyDescent="0.35">
      <c r="A43" s="6" t="s">
        <v>184</v>
      </c>
      <c r="B43" s="7" t="s">
        <v>113</v>
      </c>
      <c r="C43" s="8" t="s">
        <v>114</v>
      </c>
    </row>
    <row r="44" spans="1:3" x14ac:dyDescent="0.35">
      <c r="A44" s="9" t="s">
        <v>184</v>
      </c>
      <c r="B44" s="10" t="s">
        <v>117</v>
      </c>
      <c r="C44" s="11" t="s">
        <v>118</v>
      </c>
    </row>
    <row r="45" spans="1:3" x14ac:dyDescent="0.35">
      <c r="A45" s="9" t="s">
        <v>184</v>
      </c>
      <c r="B45" s="10" t="s">
        <v>115</v>
      </c>
      <c r="C45" s="11" t="s">
        <v>116</v>
      </c>
    </row>
    <row r="46" spans="1:3" x14ac:dyDescent="0.35">
      <c r="A46" s="9" t="s">
        <v>184</v>
      </c>
      <c r="B46" s="10" t="s">
        <v>119</v>
      </c>
      <c r="C46" s="11" t="s">
        <v>120</v>
      </c>
    </row>
    <row r="47" spans="1:3" x14ac:dyDescent="0.35">
      <c r="A47" s="9" t="s">
        <v>184</v>
      </c>
      <c r="B47" s="10" t="s">
        <v>121</v>
      </c>
      <c r="C47" s="11" t="s">
        <v>122</v>
      </c>
    </row>
    <row r="48" spans="1:3" x14ac:dyDescent="0.35">
      <c r="A48" s="6" t="s">
        <v>185</v>
      </c>
      <c r="B48" s="7" t="s">
        <v>186</v>
      </c>
      <c r="C48" s="8" t="s">
        <v>187</v>
      </c>
    </row>
    <row r="49" spans="1:3" x14ac:dyDescent="0.35">
      <c r="A49" s="9" t="s">
        <v>185</v>
      </c>
      <c r="B49" s="10" t="s">
        <v>188</v>
      </c>
      <c r="C49" s="11" t="s">
        <v>189</v>
      </c>
    </row>
    <row r="50" spans="1:3" x14ac:dyDescent="0.35">
      <c r="A50" s="9" t="s">
        <v>185</v>
      </c>
      <c r="B50" s="10" t="s">
        <v>190</v>
      </c>
      <c r="C50" s="11" t="s">
        <v>191</v>
      </c>
    </row>
    <row r="51" spans="1:3" x14ac:dyDescent="0.35">
      <c r="A51" s="9" t="s">
        <v>185</v>
      </c>
      <c r="B51" s="10" t="s">
        <v>192</v>
      </c>
      <c r="C51" s="11" t="s">
        <v>193</v>
      </c>
    </row>
    <row r="52" spans="1:3" x14ac:dyDescent="0.35">
      <c r="A52" s="9" t="s">
        <v>185</v>
      </c>
      <c r="B52" s="10" t="s">
        <v>194</v>
      </c>
      <c r="C52" s="11" t="s">
        <v>195</v>
      </c>
    </row>
  </sheetData>
  <autoFilter ref="A4:C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7" customWidth="1"/>
    <col min="2" max="2" width="22" customWidth="1"/>
    <col min="3" max="3" width="34" customWidth="1"/>
    <col min="4" max="4" width="32" customWidth="1"/>
    <col min="5" max="5" width="64" customWidth="1"/>
    <col min="6" max="6" width="34" customWidth="1"/>
  </cols>
  <sheetData>
    <row r="1" spans="1:6" ht="18" customHeight="1" x14ac:dyDescent="0.4">
      <c r="A1" s="1" t="s">
        <v>196</v>
      </c>
    </row>
    <row r="2" spans="1:6" x14ac:dyDescent="0.35">
      <c r="A2" s="2" t="s">
        <v>197</v>
      </c>
      <c r="E2" s="3" t="s">
        <v>2</v>
      </c>
      <c r="F2" s="4">
        <f>COUNTA(B5:B2000)</f>
        <v>47</v>
      </c>
    </row>
    <row r="4" spans="1:6" ht="20" customHeight="1" x14ac:dyDescent="0.35">
      <c r="A4" s="5" t="s">
        <v>198</v>
      </c>
      <c r="B4" s="5" t="s">
        <v>199</v>
      </c>
      <c r="C4" s="5" t="s">
        <v>200</v>
      </c>
      <c r="D4" s="5" t="s">
        <v>4</v>
      </c>
      <c r="E4" s="5" t="s">
        <v>201</v>
      </c>
      <c r="F4" s="5" t="s">
        <v>202</v>
      </c>
    </row>
    <row r="5" spans="1:6" ht="37.5" customHeight="1" x14ac:dyDescent="0.35">
      <c r="A5" s="6" t="s">
        <v>203</v>
      </c>
      <c r="B5" s="12" t="s">
        <v>204</v>
      </c>
      <c r="C5" s="12" t="s">
        <v>205</v>
      </c>
      <c r="D5" s="7" t="s">
        <v>206</v>
      </c>
      <c r="E5" s="8" t="s">
        <v>207</v>
      </c>
      <c r="F5" s="8" t="s">
        <v>208</v>
      </c>
    </row>
    <row r="6" spans="1:6" ht="37.5" customHeight="1" x14ac:dyDescent="0.35">
      <c r="A6" s="9" t="s">
        <v>203</v>
      </c>
      <c r="B6" s="13" t="s">
        <v>204</v>
      </c>
      <c r="C6" s="13" t="s">
        <v>205</v>
      </c>
      <c r="D6" s="10" t="s">
        <v>209</v>
      </c>
      <c r="E6" s="11" t="s">
        <v>210</v>
      </c>
      <c r="F6" s="11" t="s">
        <v>211</v>
      </c>
    </row>
    <row r="7" spans="1:6" x14ac:dyDescent="0.35">
      <c r="A7" s="9" t="s">
        <v>203</v>
      </c>
      <c r="B7" s="13" t="s">
        <v>204</v>
      </c>
      <c r="C7" s="13" t="s">
        <v>212</v>
      </c>
      <c r="D7" s="10" t="s">
        <v>213</v>
      </c>
      <c r="E7" s="11" t="s">
        <v>214</v>
      </c>
      <c r="F7" s="11" t="s">
        <v>206</v>
      </c>
    </row>
    <row r="8" spans="1:6" x14ac:dyDescent="0.35">
      <c r="A8" s="9" t="s">
        <v>203</v>
      </c>
      <c r="B8" s="13" t="s">
        <v>204</v>
      </c>
      <c r="C8" s="13" t="s">
        <v>212</v>
      </c>
      <c r="D8" s="10" t="s">
        <v>215</v>
      </c>
      <c r="E8" s="11" t="s">
        <v>216</v>
      </c>
      <c r="F8" s="11" t="s">
        <v>217</v>
      </c>
    </row>
    <row r="9" spans="1:6" x14ac:dyDescent="0.35">
      <c r="A9" s="9" t="s">
        <v>203</v>
      </c>
      <c r="B9" s="13" t="s">
        <v>204</v>
      </c>
      <c r="C9" s="13" t="s">
        <v>212</v>
      </c>
      <c r="D9" s="10" t="s">
        <v>218</v>
      </c>
      <c r="E9" s="11" t="s">
        <v>219</v>
      </c>
      <c r="F9" s="11" t="s">
        <v>217</v>
      </c>
    </row>
    <row r="10" spans="1:6" x14ac:dyDescent="0.35">
      <c r="A10" s="9" t="s">
        <v>203</v>
      </c>
      <c r="B10" s="13" t="s">
        <v>204</v>
      </c>
      <c r="C10" s="13" t="s">
        <v>212</v>
      </c>
      <c r="D10" s="10" t="s">
        <v>220</v>
      </c>
      <c r="E10" s="11" t="s">
        <v>221</v>
      </c>
      <c r="F10" s="11" t="s">
        <v>209</v>
      </c>
    </row>
    <row r="11" spans="1:6" x14ac:dyDescent="0.35">
      <c r="A11" s="9" t="s">
        <v>203</v>
      </c>
      <c r="B11" s="13" t="s">
        <v>204</v>
      </c>
      <c r="C11" s="13" t="s">
        <v>212</v>
      </c>
      <c r="D11" s="10" t="s">
        <v>222</v>
      </c>
      <c r="E11" s="11" t="s">
        <v>223</v>
      </c>
      <c r="F11" s="11" t="s">
        <v>209</v>
      </c>
    </row>
    <row r="12" spans="1:6" x14ac:dyDescent="0.35">
      <c r="A12" s="9" t="s">
        <v>203</v>
      </c>
      <c r="B12" s="13" t="s">
        <v>204</v>
      </c>
      <c r="C12" s="13" t="s">
        <v>212</v>
      </c>
      <c r="D12" s="10" t="s">
        <v>224</v>
      </c>
      <c r="E12" s="11" t="s">
        <v>225</v>
      </c>
      <c r="F12" s="11" t="s">
        <v>209</v>
      </c>
    </row>
    <row r="13" spans="1:6" x14ac:dyDescent="0.35">
      <c r="A13" s="9" t="s">
        <v>203</v>
      </c>
      <c r="B13" s="13" t="s">
        <v>204</v>
      </c>
      <c r="C13" s="13" t="s">
        <v>212</v>
      </c>
      <c r="D13" s="10" t="s">
        <v>226</v>
      </c>
      <c r="E13" s="11" t="s">
        <v>227</v>
      </c>
      <c r="F13" s="11" t="s">
        <v>209</v>
      </c>
    </row>
    <row r="14" spans="1:6" ht="37.5" customHeight="1" x14ac:dyDescent="0.35">
      <c r="A14" s="9" t="s">
        <v>203</v>
      </c>
      <c r="B14" s="13" t="s">
        <v>228</v>
      </c>
      <c r="C14" s="13" t="s">
        <v>229</v>
      </c>
      <c r="D14" s="10" t="s">
        <v>230</v>
      </c>
      <c r="E14" s="11" t="s">
        <v>231</v>
      </c>
      <c r="F14" s="11"/>
    </row>
    <row r="15" spans="1:6" ht="25" customHeight="1" x14ac:dyDescent="0.35">
      <c r="A15" s="9" t="s">
        <v>203</v>
      </c>
      <c r="B15" s="13" t="s">
        <v>228</v>
      </c>
      <c r="C15" s="13" t="s">
        <v>229</v>
      </c>
      <c r="D15" s="10" t="s">
        <v>232</v>
      </c>
      <c r="E15" s="11" t="s">
        <v>233</v>
      </c>
      <c r="F15" s="11"/>
    </row>
    <row r="16" spans="1:6" x14ac:dyDescent="0.35">
      <c r="A16" s="9" t="s">
        <v>203</v>
      </c>
      <c r="B16" s="13" t="s">
        <v>228</v>
      </c>
      <c r="C16" s="13" t="s">
        <v>229</v>
      </c>
      <c r="D16" s="10" t="s">
        <v>234</v>
      </c>
      <c r="E16" s="11" t="s">
        <v>235</v>
      </c>
      <c r="F16" s="11"/>
    </row>
    <row r="17" spans="1:6" x14ac:dyDescent="0.35">
      <c r="A17" s="9" t="s">
        <v>203</v>
      </c>
      <c r="B17" s="13" t="s">
        <v>228</v>
      </c>
      <c r="C17" s="13" t="s">
        <v>236</v>
      </c>
      <c r="D17" s="10" t="s">
        <v>237</v>
      </c>
      <c r="E17" s="11" t="s">
        <v>238</v>
      </c>
      <c r="F17" s="11"/>
    </row>
    <row r="18" spans="1:6" x14ac:dyDescent="0.35">
      <c r="A18" s="9" t="s">
        <v>203</v>
      </c>
      <c r="B18" s="13" t="s">
        <v>228</v>
      </c>
      <c r="C18" s="13" t="s">
        <v>236</v>
      </c>
      <c r="D18" s="10" t="s">
        <v>239</v>
      </c>
      <c r="E18" s="11" t="s">
        <v>240</v>
      </c>
      <c r="F18" s="11"/>
    </row>
    <row r="19" spans="1:6" x14ac:dyDescent="0.35">
      <c r="A19" s="9" t="s">
        <v>203</v>
      </c>
      <c r="B19" s="13" t="s">
        <v>228</v>
      </c>
      <c r="C19" s="13" t="s">
        <v>236</v>
      </c>
      <c r="D19" s="10" t="s">
        <v>241</v>
      </c>
      <c r="E19" s="11" t="s">
        <v>242</v>
      </c>
      <c r="F19" s="11"/>
    </row>
    <row r="20" spans="1:6" x14ac:dyDescent="0.35">
      <c r="A20" s="9" t="s">
        <v>203</v>
      </c>
      <c r="B20" s="13" t="s">
        <v>228</v>
      </c>
      <c r="C20" s="13" t="s">
        <v>236</v>
      </c>
      <c r="D20" s="10" t="s">
        <v>243</v>
      </c>
      <c r="E20" s="11" t="s">
        <v>244</v>
      </c>
      <c r="F20" s="11"/>
    </row>
    <row r="21" spans="1:6" x14ac:dyDescent="0.35">
      <c r="A21" s="9" t="s">
        <v>203</v>
      </c>
      <c r="B21" s="13" t="s">
        <v>228</v>
      </c>
      <c r="C21" s="13" t="s">
        <v>245</v>
      </c>
      <c r="D21" s="10" t="s">
        <v>246</v>
      </c>
      <c r="E21" s="11" t="s">
        <v>116</v>
      </c>
      <c r="F21" s="11" t="s">
        <v>247</v>
      </c>
    </row>
    <row r="22" spans="1:6" x14ac:dyDescent="0.35">
      <c r="A22" s="9" t="s">
        <v>203</v>
      </c>
      <c r="B22" s="13" t="s">
        <v>228</v>
      </c>
      <c r="C22" s="13" t="s">
        <v>245</v>
      </c>
      <c r="D22" s="10" t="s">
        <v>248</v>
      </c>
      <c r="E22" s="11" t="s">
        <v>118</v>
      </c>
      <c r="F22" s="11" t="s">
        <v>249</v>
      </c>
    </row>
    <row r="23" spans="1:6" x14ac:dyDescent="0.35">
      <c r="A23" s="9" t="s">
        <v>203</v>
      </c>
      <c r="B23" s="13" t="s">
        <v>228</v>
      </c>
      <c r="C23" s="13" t="s">
        <v>245</v>
      </c>
      <c r="D23" s="10" t="s">
        <v>250</v>
      </c>
      <c r="E23" s="11" t="s">
        <v>120</v>
      </c>
      <c r="F23" s="11" t="s">
        <v>251</v>
      </c>
    </row>
    <row r="24" spans="1:6" ht="25" customHeight="1" x14ac:dyDescent="0.35">
      <c r="A24" s="9" t="s">
        <v>203</v>
      </c>
      <c r="B24" s="13" t="s">
        <v>252</v>
      </c>
      <c r="C24" s="13" t="s">
        <v>253</v>
      </c>
      <c r="D24" s="10" t="s">
        <v>159</v>
      </c>
      <c r="E24" s="11" t="s">
        <v>254</v>
      </c>
      <c r="F24" s="11"/>
    </row>
    <row r="25" spans="1:6" ht="25" customHeight="1" x14ac:dyDescent="0.35">
      <c r="A25" s="9" t="s">
        <v>203</v>
      </c>
      <c r="B25" s="13" t="s">
        <v>252</v>
      </c>
      <c r="C25" s="13" t="s">
        <v>253</v>
      </c>
      <c r="D25" s="10" t="s">
        <v>161</v>
      </c>
      <c r="E25" s="11" t="s">
        <v>255</v>
      </c>
      <c r="F25" s="11"/>
    </row>
    <row r="26" spans="1:6" x14ac:dyDescent="0.35">
      <c r="A26" s="9" t="s">
        <v>203</v>
      </c>
      <c r="B26" s="13" t="s">
        <v>252</v>
      </c>
      <c r="C26" s="13" t="s">
        <v>253</v>
      </c>
      <c r="D26" s="10" t="s">
        <v>163</v>
      </c>
      <c r="E26" s="11" t="s">
        <v>256</v>
      </c>
      <c r="F26" s="11"/>
    </row>
    <row r="27" spans="1:6" x14ac:dyDescent="0.35">
      <c r="A27" s="9" t="s">
        <v>203</v>
      </c>
      <c r="B27" s="13" t="s">
        <v>252</v>
      </c>
      <c r="C27" s="13" t="s">
        <v>253</v>
      </c>
      <c r="D27" s="10" t="s">
        <v>165</v>
      </c>
      <c r="E27" s="11" t="s">
        <v>257</v>
      </c>
      <c r="F27" s="11"/>
    </row>
    <row r="28" spans="1:6" x14ac:dyDescent="0.35">
      <c r="A28" s="9" t="s">
        <v>203</v>
      </c>
      <c r="B28" s="13" t="s">
        <v>252</v>
      </c>
      <c r="C28" s="13" t="s">
        <v>253</v>
      </c>
      <c r="D28" s="10" t="s">
        <v>167</v>
      </c>
      <c r="E28" s="11" t="s">
        <v>258</v>
      </c>
      <c r="F28" s="11"/>
    </row>
    <row r="29" spans="1:6" x14ac:dyDescent="0.35">
      <c r="A29" s="9" t="s">
        <v>203</v>
      </c>
      <c r="B29" s="13" t="s">
        <v>252</v>
      </c>
      <c r="C29" s="13" t="s">
        <v>259</v>
      </c>
      <c r="D29" s="10" t="s">
        <v>260</v>
      </c>
      <c r="E29" s="11" t="s">
        <v>261</v>
      </c>
      <c r="F29" s="11"/>
    </row>
    <row r="30" spans="1:6" x14ac:dyDescent="0.35">
      <c r="A30" s="9" t="s">
        <v>203</v>
      </c>
      <c r="B30" s="13" t="s">
        <v>252</v>
      </c>
      <c r="C30" s="13" t="s">
        <v>259</v>
      </c>
      <c r="D30" s="10" t="s">
        <v>262</v>
      </c>
      <c r="E30" s="11" t="s">
        <v>263</v>
      </c>
      <c r="F30" s="11"/>
    </row>
    <row r="31" spans="1:6" x14ac:dyDescent="0.35">
      <c r="A31" s="9" t="s">
        <v>203</v>
      </c>
      <c r="B31" s="13" t="s">
        <v>252</v>
      </c>
      <c r="C31" s="13" t="s">
        <v>259</v>
      </c>
      <c r="D31" s="10" t="s">
        <v>264</v>
      </c>
      <c r="E31" s="11" t="s">
        <v>265</v>
      </c>
      <c r="F31" s="11"/>
    </row>
    <row r="32" spans="1:6" x14ac:dyDescent="0.35">
      <c r="A32" s="9" t="s">
        <v>203</v>
      </c>
      <c r="B32" s="13" t="s">
        <v>252</v>
      </c>
      <c r="C32" s="13" t="s">
        <v>259</v>
      </c>
      <c r="D32" s="10" t="s">
        <v>266</v>
      </c>
      <c r="E32" s="11" t="s">
        <v>267</v>
      </c>
      <c r="F32" s="11"/>
    </row>
    <row r="33" spans="1:6" x14ac:dyDescent="0.35">
      <c r="A33" s="9" t="s">
        <v>203</v>
      </c>
      <c r="B33" s="13" t="s">
        <v>252</v>
      </c>
      <c r="C33" s="13" t="s">
        <v>259</v>
      </c>
      <c r="D33" s="10" t="s">
        <v>268</v>
      </c>
      <c r="E33" s="11" t="s">
        <v>269</v>
      </c>
      <c r="F33" s="11"/>
    </row>
    <row r="34" spans="1:6" ht="25" customHeight="1" x14ac:dyDescent="0.35">
      <c r="A34" s="9" t="s">
        <v>203</v>
      </c>
      <c r="B34" s="13" t="s">
        <v>252</v>
      </c>
      <c r="C34" s="13" t="s">
        <v>259</v>
      </c>
      <c r="D34" s="10" t="s">
        <v>270</v>
      </c>
      <c r="E34" s="11" t="s">
        <v>271</v>
      </c>
      <c r="F34" s="11"/>
    </row>
    <row r="35" spans="1:6" x14ac:dyDescent="0.35">
      <c r="A35" s="9" t="s">
        <v>203</v>
      </c>
      <c r="B35" s="13" t="s">
        <v>252</v>
      </c>
      <c r="C35" s="13" t="s">
        <v>259</v>
      </c>
      <c r="D35" s="10" t="s">
        <v>38</v>
      </c>
      <c r="E35" s="11" t="s">
        <v>272</v>
      </c>
      <c r="F35" s="11"/>
    </row>
    <row r="36" spans="1:6" x14ac:dyDescent="0.35">
      <c r="A36" s="9" t="s">
        <v>203</v>
      </c>
      <c r="B36" s="13" t="s">
        <v>252</v>
      </c>
      <c r="C36" s="13" t="s">
        <v>259</v>
      </c>
      <c r="D36" s="10" t="s">
        <v>273</v>
      </c>
      <c r="E36" s="11" t="s">
        <v>274</v>
      </c>
      <c r="F36" s="11"/>
    </row>
    <row r="37" spans="1:6" ht="25" customHeight="1" x14ac:dyDescent="0.35">
      <c r="A37" s="9" t="s">
        <v>203</v>
      </c>
      <c r="B37" s="13" t="s">
        <v>252</v>
      </c>
      <c r="C37" s="13" t="s">
        <v>259</v>
      </c>
      <c r="D37" s="10" t="s">
        <v>275</v>
      </c>
      <c r="E37" s="11" t="s">
        <v>276</v>
      </c>
      <c r="F37" s="11"/>
    </row>
    <row r="38" spans="1:6" x14ac:dyDescent="0.35">
      <c r="A38" s="9" t="s">
        <v>203</v>
      </c>
      <c r="B38" s="13" t="s">
        <v>252</v>
      </c>
      <c r="C38" s="13" t="s">
        <v>259</v>
      </c>
      <c r="D38" s="10" t="s">
        <v>277</v>
      </c>
      <c r="E38" s="11" t="s">
        <v>278</v>
      </c>
      <c r="F38" s="11"/>
    </row>
    <row r="39" spans="1:6" x14ac:dyDescent="0.35">
      <c r="A39" s="9" t="s">
        <v>203</v>
      </c>
      <c r="B39" s="13" t="s">
        <v>279</v>
      </c>
      <c r="C39" s="13" t="s">
        <v>280</v>
      </c>
      <c r="D39" s="10" t="s">
        <v>281</v>
      </c>
      <c r="E39" s="11" t="s">
        <v>282</v>
      </c>
      <c r="F39" s="11"/>
    </row>
    <row r="40" spans="1:6" x14ac:dyDescent="0.35">
      <c r="A40" s="9" t="s">
        <v>203</v>
      </c>
      <c r="B40" s="13" t="s">
        <v>279</v>
      </c>
      <c r="C40" s="13" t="s">
        <v>280</v>
      </c>
      <c r="D40" s="10" t="s">
        <v>283</v>
      </c>
      <c r="E40" s="11" t="s">
        <v>284</v>
      </c>
      <c r="F40" s="11"/>
    </row>
    <row r="41" spans="1:6" x14ac:dyDescent="0.35">
      <c r="A41" s="9" t="s">
        <v>203</v>
      </c>
      <c r="B41" s="13" t="s">
        <v>279</v>
      </c>
      <c r="C41" s="13" t="s">
        <v>280</v>
      </c>
      <c r="D41" s="10" t="s">
        <v>285</v>
      </c>
      <c r="E41" s="11" t="s">
        <v>286</v>
      </c>
      <c r="F41" s="11"/>
    </row>
    <row r="42" spans="1:6" ht="25" customHeight="1" x14ac:dyDescent="0.35">
      <c r="A42" s="9" t="s">
        <v>203</v>
      </c>
      <c r="B42" s="13" t="s">
        <v>279</v>
      </c>
      <c r="C42" s="13" t="s">
        <v>280</v>
      </c>
      <c r="D42" s="10" t="s">
        <v>287</v>
      </c>
      <c r="E42" s="11" t="s">
        <v>288</v>
      </c>
      <c r="F42" s="11"/>
    </row>
    <row r="43" spans="1:6" x14ac:dyDescent="0.35">
      <c r="A43" s="9" t="s">
        <v>203</v>
      </c>
      <c r="B43" s="13" t="s">
        <v>279</v>
      </c>
      <c r="C43" s="13" t="s">
        <v>280</v>
      </c>
      <c r="D43" s="10" t="s">
        <v>289</v>
      </c>
      <c r="E43" s="11" t="s">
        <v>290</v>
      </c>
      <c r="F43" s="11"/>
    </row>
    <row r="44" spans="1:6" x14ac:dyDescent="0.35">
      <c r="A44" s="9" t="s">
        <v>203</v>
      </c>
      <c r="B44" s="13" t="s">
        <v>279</v>
      </c>
      <c r="C44" s="13" t="s">
        <v>280</v>
      </c>
      <c r="D44" s="10" t="s">
        <v>291</v>
      </c>
      <c r="E44" s="11" t="s">
        <v>292</v>
      </c>
      <c r="F44" s="11"/>
    </row>
    <row r="45" spans="1:6" ht="25" customHeight="1" x14ac:dyDescent="0.35">
      <c r="A45" s="9" t="s">
        <v>203</v>
      </c>
      <c r="B45" s="13" t="s">
        <v>293</v>
      </c>
      <c r="C45" s="13" t="s">
        <v>294</v>
      </c>
      <c r="D45" s="10" t="s">
        <v>295</v>
      </c>
      <c r="E45" s="11" t="s">
        <v>296</v>
      </c>
      <c r="F45" s="11"/>
    </row>
    <row r="46" spans="1:6" ht="25" customHeight="1" x14ac:dyDescent="0.35">
      <c r="A46" s="9" t="s">
        <v>203</v>
      </c>
      <c r="B46" s="13" t="s">
        <v>293</v>
      </c>
      <c r="C46" s="13" t="s">
        <v>294</v>
      </c>
      <c r="D46" s="10" t="s">
        <v>116</v>
      </c>
      <c r="E46" s="11" t="s">
        <v>297</v>
      </c>
      <c r="F46" s="11"/>
    </row>
    <row r="47" spans="1:6" x14ac:dyDescent="0.35">
      <c r="A47" s="6" t="s">
        <v>298</v>
      </c>
      <c r="B47" s="12" t="s">
        <v>299</v>
      </c>
      <c r="C47" s="12"/>
      <c r="D47" s="7" t="s">
        <v>300</v>
      </c>
      <c r="E47" s="8" t="s">
        <v>301</v>
      </c>
      <c r="F47" s="8"/>
    </row>
    <row r="48" spans="1:6" x14ac:dyDescent="0.35">
      <c r="A48" s="9" t="s">
        <v>298</v>
      </c>
      <c r="B48" s="13" t="s">
        <v>299</v>
      </c>
      <c r="C48" s="13"/>
      <c r="D48" s="10" t="s">
        <v>302</v>
      </c>
      <c r="E48" s="11" t="s">
        <v>303</v>
      </c>
      <c r="F48" s="11"/>
    </row>
    <row r="49" spans="1:6" x14ac:dyDescent="0.35">
      <c r="A49" s="9" t="s">
        <v>298</v>
      </c>
      <c r="B49" s="13" t="s">
        <v>299</v>
      </c>
      <c r="C49" s="13"/>
      <c r="D49" s="10" t="s">
        <v>304</v>
      </c>
      <c r="E49" s="11" t="s">
        <v>305</v>
      </c>
      <c r="F49" s="11"/>
    </row>
    <row r="50" spans="1:6" x14ac:dyDescent="0.35">
      <c r="A50" s="9" t="s">
        <v>298</v>
      </c>
      <c r="B50" s="13" t="s">
        <v>299</v>
      </c>
      <c r="C50" s="13"/>
      <c r="D50" s="10" t="s">
        <v>306</v>
      </c>
      <c r="E50" s="11" t="s">
        <v>307</v>
      </c>
      <c r="F50" s="11"/>
    </row>
    <row r="51" spans="1:6" x14ac:dyDescent="0.35">
      <c r="A51" s="9" t="s">
        <v>298</v>
      </c>
      <c r="B51" s="13" t="s">
        <v>299</v>
      </c>
      <c r="C51" s="13"/>
      <c r="D51" s="10" t="s">
        <v>308</v>
      </c>
      <c r="E51" s="11" t="s">
        <v>309</v>
      </c>
      <c r="F51" s="11"/>
    </row>
  </sheetData>
  <autoFilter ref="A4:F5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Reference</vt:lpstr>
      <vt:lpstr>Quick Reference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2026-09-04T02:05:52Z</dcterms:created>
  <dcterms:modified xsi:type="dcterms:W3CDTF">2026-09-04T02:39:00Z</dcterms:modified>
</cp:coreProperties>
</file>